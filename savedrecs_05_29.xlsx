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e/Documents/PhD/Housekeeping/LRSMpublications/"/>
    </mc:Choice>
  </mc:AlternateContent>
  <xr:revisionPtr revIDLastSave="0" documentId="8_{FD98640B-8EB4-0E46-82CB-083C33360690}" xr6:coauthVersionLast="47" xr6:coauthVersionMax="47" xr10:uidLastSave="{00000000-0000-0000-0000-000000000000}"/>
  <bookViews>
    <workbookView xWindow="360" yWindow="780" windowWidth="14940" windowHeight="9160" xr2:uid="{F9171AD1-8C93-AE4C-A941-04CD8CF9A240}"/>
  </bookViews>
  <sheets>
    <sheet name="savedre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2" i="1" l="1"/>
  <c r="BT2" i="1"/>
  <c r="BF3" i="1"/>
  <c r="BT3" i="1"/>
  <c r="BF4" i="1"/>
  <c r="BT4" i="1"/>
  <c r="BF5" i="1"/>
  <c r="BT5" i="1"/>
  <c r="BF6" i="1"/>
  <c r="BT6" i="1"/>
  <c r="BF7" i="1"/>
  <c r="BT7" i="1"/>
  <c r="BF8" i="1"/>
  <c r="BT8" i="1"/>
  <c r="BF9" i="1"/>
  <c r="BT9" i="1"/>
  <c r="BF10" i="1"/>
  <c r="BT10" i="1"/>
  <c r="BF11" i="1"/>
  <c r="BT11" i="1"/>
  <c r="BF12" i="1"/>
  <c r="BT12" i="1"/>
  <c r="BF13" i="1"/>
  <c r="BT13" i="1"/>
  <c r="BF14" i="1"/>
  <c r="BT14" i="1"/>
  <c r="BF15" i="1"/>
  <c r="BT15" i="1"/>
  <c r="BF16" i="1"/>
  <c r="BT16" i="1"/>
  <c r="BF17" i="1"/>
  <c r="BT17" i="1"/>
  <c r="BF18" i="1"/>
  <c r="BT18" i="1"/>
  <c r="BF19" i="1"/>
  <c r="BT19" i="1"/>
  <c r="BF20" i="1"/>
  <c r="BT20" i="1"/>
  <c r="BF21" i="1"/>
  <c r="BT21" i="1"/>
  <c r="BF22" i="1"/>
  <c r="BT22" i="1"/>
  <c r="BF23" i="1"/>
  <c r="BT23" i="1"/>
  <c r="BF24" i="1"/>
  <c r="BT24" i="1"/>
  <c r="BF25" i="1"/>
  <c r="BT25" i="1"/>
  <c r="BF26" i="1"/>
  <c r="BT26" i="1"/>
  <c r="BF27" i="1"/>
  <c r="BT27" i="1"/>
  <c r="BF28" i="1"/>
  <c r="BT28" i="1"/>
  <c r="BF29" i="1"/>
  <c r="BT29" i="1"/>
  <c r="BF30" i="1"/>
  <c r="BT30" i="1"/>
  <c r="BF31" i="1"/>
  <c r="BT31" i="1"/>
  <c r="BF32" i="1"/>
  <c r="BT32" i="1"/>
  <c r="BF33" i="1"/>
  <c r="BT33" i="1"/>
  <c r="BF34" i="1"/>
  <c r="BT34" i="1"/>
  <c r="BF35" i="1"/>
  <c r="BT35" i="1"/>
  <c r="BF36" i="1"/>
  <c r="BT36" i="1"/>
  <c r="BF37" i="1"/>
  <c r="BT37" i="1"/>
  <c r="BF38" i="1"/>
  <c r="BT38" i="1"/>
  <c r="BF39" i="1"/>
  <c r="BT39" i="1"/>
  <c r="BF40" i="1"/>
  <c r="BT40" i="1"/>
  <c r="BF41" i="1"/>
  <c r="BT41" i="1"/>
  <c r="BF42" i="1"/>
  <c r="BT42" i="1"/>
  <c r="BF43" i="1"/>
  <c r="BT43" i="1"/>
  <c r="BF44" i="1"/>
  <c r="BT44" i="1"/>
  <c r="BF45" i="1"/>
  <c r="BT45" i="1"/>
  <c r="BF46" i="1"/>
  <c r="BT46" i="1"/>
  <c r="BF47" i="1"/>
  <c r="BT47" i="1"/>
  <c r="BF48" i="1"/>
  <c r="BT48" i="1"/>
  <c r="BF49" i="1"/>
  <c r="BT49" i="1"/>
  <c r="BF50" i="1"/>
  <c r="BT50" i="1"/>
  <c r="BF51" i="1"/>
  <c r="BT51" i="1"/>
</calcChain>
</file>

<file path=xl/sharedStrings.xml><?xml version="1.0" encoding="utf-8"?>
<sst xmlns="http://schemas.openxmlformats.org/spreadsheetml/2006/main" count="3347" uniqueCount="569">
  <si>
    <t>Publication Type</t>
  </si>
  <si>
    <t>Authors</t>
  </si>
  <si>
    <t>Book Authors</t>
  </si>
  <si>
    <t>Book Editors</t>
  </si>
  <si>
    <t>Book Group Authors</t>
  </si>
  <si>
    <t>Author Full Names</t>
  </si>
  <si>
    <t>Book Author Full Names</t>
  </si>
  <si>
    <t>Group Authors</t>
  </si>
  <si>
    <t>Article Title</t>
  </si>
  <si>
    <t>Source Title</t>
  </si>
  <si>
    <t>Book Series Title</t>
  </si>
  <si>
    <t>Book Series Subtitle</t>
  </si>
  <si>
    <t>Language</t>
  </si>
  <si>
    <t>Document Type</t>
  </si>
  <si>
    <t>Conference Title</t>
  </si>
  <si>
    <t>Conference Date</t>
  </si>
  <si>
    <t>Conference Location</t>
  </si>
  <si>
    <t>Conference Sponsor</t>
  </si>
  <si>
    <t>Conference Host</t>
  </si>
  <si>
    <t>Author Keywords</t>
  </si>
  <si>
    <t>Keywords Plus</t>
  </si>
  <si>
    <t>Abstract</t>
  </si>
  <si>
    <t>Addresses</t>
  </si>
  <si>
    <t>Affiliations</t>
  </si>
  <si>
    <t>Reprint Addresses</t>
  </si>
  <si>
    <t>Email Addresses</t>
  </si>
  <si>
    <t>Researcher Ids</t>
  </si>
  <si>
    <t>ORCIDs</t>
  </si>
  <si>
    <t>Funding Orgs</t>
  </si>
  <si>
    <t>Funding Name Preferred</t>
  </si>
  <si>
    <t>Funding Text</t>
  </si>
  <si>
    <t>Cited References</t>
  </si>
  <si>
    <t>Cited Reference Count</t>
  </si>
  <si>
    <t>Times Cited, WoS Core</t>
  </si>
  <si>
    <t>Times Cited, All Databases</t>
  </si>
  <si>
    <t>180 Day Usage Count</t>
  </si>
  <si>
    <t>Since 2013 Usage Count</t>
  </si>
  <si>
    <t>Publisher</t>
  </si>
  <si>
    <t>Publisher City</t>
  </si>
  <si>
    <t>Publisher Address</t>
  </si>
  <si>
    <t>ISSN</t>
  </si>
  <si>
    <t>eISSN</t>
  </si>
  <si>
    <t>ISBN</t>
  </si>
  <si>
    <t>Journal Abbreviation</t>
  </si>
  <si>
    <t>Journal ISO Abbreviation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</si>
  <si>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</si>
  <si>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</si>
  <si>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</si>
  <si>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</si>
  <si>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</si>
  <si>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</si>
  <si>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</si>
  <si>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Meeting Abstract</t>
  </si>
  <si>
    <t>Start Page</t>
  </si>
  <si>
    <t>End Page</t>
  </si>
  <si>
    <t>Article Number</t>
  </si>
  <si>
    <t>DOI</t>
  </si>
  <si>
    <t>DOI Link</t>
  </si>
  <si>
    <t>Book DOI</t>
  </si>
  <si>
    <t>Early Access Date</t>
  </si>
  <si>
    <t>Number of Pages</t>
  </si>
  <si>
    <t>WoS Categories</t>
  </si>
  <si>
    <t>Web of Science Index</t>
  </si>
  <si>
    <t>Research Areas</t>
  </si>
  <si>
    <t>IDS Number</t>
  </si>
  <si>
    <t>Pubmed Id</t>
  </si>
  <si>
    <t>Open Access Designations</t>
  </si>
  <si>
    <t>Highly Cited Status</t>
  </si>
  <si>
    <t>Hot Paper Status</t>
  </si>
  <si>
    <t>Date of Export</t>
  </si>
  <si>
    <t>UT (Unique WOS ID)</t>
  </si>
  <si>
    <t>Web of Science Record</t>
  </si>
  <si>
    <t>J</t>
  </si>
  <si>
    <t>Ogbu, IM; Tu, CH; Fastow, E; Hinton, ZR; Winey, KI; Kozlowski, MC</t>
  </si>
  <si>
    <t/>
  </si>
  <si>
    <t>Ogbu, Ikechukwu Martin; Tu, Chien-Hua; Fastow, Eli; Hinton, Zachary R.; Winey, Karen I.; Kozlowski, Marisa C.</t>
  </si>
  <si>
    <t>N2O deconstruction of polycyclooctene to generate carbonyl-functionalized macromonomers</t>
  </si>
  <si>
    <t>POLYMER DEGRADATION AND STABILITY</t>
  </si>
  <si>
    <t>Tu, Chien-Hua/GPT-4392-2022; Winey, Karen/HJH-7326-2023</t>
  </si>
  <si>
    <t>Kozlowski, Marisa/0000-0002-4225-7125; Ikechukwu, Ogbu/0000-0002-9053-7519; Fastow, Eli/0000-0003-2674-2056; Winey, Karen/0000-0001-5856-3410</t>
  </si>
  <si>
    <t>0141-3910</t>
  </si>
  <si>
    <t>1873-2321</t>
  </si>
  <si>
    <t>NOV</t>
  </si>
  <si>
    <t>10.1016/j.polymdegradstab.2024.110987</t>
  </si>
  <si>
    <t>SEP 2024</t>
  </si>
  <si>
    <t>WOS:001317495400001</t>
  </si>
  <si>
    <t>Winn, A; Katifori, E</t>
  </si>
  <si>
    <t>Winn, Aaron; Katifori, Eleni</t>
  </si>
  <si>
    <t>Operating principles of peristaltic pumping through a dense array of valves</t>
  </si>
  <si>
    <t>JOURNAL OF FLUID MECHANICS</t>
  </si>
  <si>
    <t>Winn, Aaron/0000-0002-0441-9189; Katifori, Eleni/0000-0002-7332-4749</t>
  </si>
  <si>
    <t>0022-1120</t>
  </si>
  <si>
    <t>1469-7645</t>
  </si>
  <si>
    <t>JUL 29</t>
  </si>
  <si>
    <t>A18</t>
  </si>
  <si>
    <t>10.1017/jfm.2024.480</t>
  </si>
  <si>
    <t>WOS:001278750300001</t>
  </si>
  <si>
    <t>Jedlinska, ZM; Riggleman, RA</t>
  </si>
  <si>
    <t>Jedlinska, Zuzanna M.; Riggleman, Robert A.</t>
  </si>
  <si>
    <t>Orthogonal Phase Separation through Associative Interactions in Polymer Blends</t>
  </si>
  <si>
    <t>MACROMOLECULES</t>
  </si>
  <si>
    <t>Jedlinska, Zuzanna/0000-0001-8127-7658</t>
  </si>
  <si>
    <t>0024-9297</t>
  </si>
  <si>
    <t>1520-5835</t>
  </si>
  <si>
    <t>DEC 9</t>
  </si>
  <si>
    <t>10.1021/acs.macromol.5c02149</t>
  </si>
  <si>
    <t>NOV 2025</t>
  </si>
  <si>
    <t>WOS:001618589100001</t>
  </si>
  <si>
    <t>Gao, YC; Chi, YD; Patel, M; Jin, LS; Liu, JQ; Brun, P; Yang, S</t>
  </si>
  <si>
    <t>Gao, Yuchong; Chi, Yinding; Patel, Mohit; Jin, Lishuai; Liu, Jiaqi; Brun, Pierre-thomas; Yang, Shu</t>
  </si>
  <si>
    <t>Geometrically Templated Dynamic Wrinkling From Suspended Poly(vinyl alcohol) Soap Films</t>
  </si>
  <si>
    <t>ADVANCED MATERIALS INTERFACES</t>
  </si>
  <si>
    <t>Lishuai, Jin/NFT-1119-2025; Jin, Lishuai/U-1468-2018; Gao, Yuchong/POU-5941-2026</t>
  </si>
  <si>
    <t>Jin, Lishuai/0000-0002-6888-8179; Gao, Yuchong/0000-0001-5338-8764</t>
  </si>
  <si>
    <t>2196-7350</t>
  </si>
  <si>
    <t>MAR</t>
  </si>
  <si>
    <t>10.1002/admi.202500944</t>
  </si>
  <si>
    <t>FEB 2026</t>
  </si>
  <si>
    <t>WOS:001694144400001</t>
  </si>
  <si>
    <t>Wang, KT; Winey, KI</t>
  </si>
  <si>
    <t>Wang, Kaitlin; Winey, Karen I.</t>
  </si>
  <si>
    <t>Vehicular and Core-Shell Nanoparticle Diffusion in Attractive Entangled Polymer Melts</t>
  </si>
  <si>
    <t>; Winey, Karen/HJH-7326-2023</t>
  </si>
  <si>
    <t>Wang, Kaitlin/0000-0003-2459-8767; Winey, Karen/0000-0001-5856-3410</t>
  </si>
  <si>
    <t>JUL 8</t>
  </si>
  <si>
    <t>10.1021/acs.macromol.4c00808</t>
  </si>
  <si>
    <t>JUL 2024</t>
  </si>
  <si>
    <t>WOS:001275267300001</t>
  </si>
  <si>
    <t>Fastow, E; Chethalen, RJ; Coughlin, EB; Winey, KI</t>
  </si>
  <si>
    <t>Fastow, Eli; Chethalen, Roshni John; Coughlin, E. Bryan; Winey, Karen I.</t>
  </si>
  <si>
    <t>Thiol-ene click chemistry incorporates carboxylic acid-terminated alkane pendants on polycyclooctene to tune properties</t>
  </si>
  <si>
    <t>GIANT</t>
  </si>
  <si>
    <t>Winey, Karen/HJH-7326-2023; Coughlin, Edward Bryan/PKR-1846-2026</t>
  </si>
  <si>
    <t>Winey, Karen/0000-0001-5856-3410; Fastow, Eli/0000-0003-2674-2056;</t>
  </si>
  <si>
    <t>2666-5425</t>
  </si>
  <si>
    <t>10.1016/j.giant.2023.100231</t>
  </si>
  <si>
    <t>JAN 2024</t>
  </si>
  <si>
    <t>WOS:001155297400001</t>
  </si>
  <si>
    <t>Radzanowski, AN; Behbahani, HS; McCambridge, W; Gensel, C; Spence, C; Winey, KI; Coughlin, EB</t>
  </si>
  <si>
    <t>Radzanowski, Anne N.; Behbahani, Hoda Shokrollahzadeh; McCambridge, William; Gensel, Clay; Spence, Catherine; Winey, Karen I.; Coughlin, E. Bryan</t>
  </si>
  <si>
    <t>Polyhalohydrins: Investigating Vicinal Functionalities by Ring-Opening of Epoxides on Polyolefins</t>
  </si>
  <si>
    <t>; Winey, Karen/HJH-7326-2023; Coughlin, Edward Bryan/PKR-1846-2026</t>
  </si>
  <si>
    <t>Coughlin, E Bryan/0000-0001-7065-4366; Winey, Karen/0000-0001-5856-3410; McCambridge, William/0009-0006-3150-6807; Radzanowski, Anne/0000-0001-6453-3103;</t>
  </si>
  <si>
    <t>SEP 23</t>
  </si>
  <si>
    <t>10.1021/acs.macromol.5c01830</t>
  </si>
  <si>
    <t>SEP 2025</t>
  </si>
  <si>
    <t>WOS:001571605100001</t>
  </si>
  <si>
    <t>Radzanowski, AN; Fastow, EJ; Tu, CH; Votruba-Drzal, J; Nair, V; Winey, KI; Coughlin, EB</t>
  </si>
  <si>
    <t>Radzanowski, Anne N.; Fastow, Eli J.; Tu, Chien-Hua; Votruba-Drzal, James; Nair, Vivek; Winey, Karen I.; Coughlin, E. Bryan</t>
  </si>
  <si>
    <t>Impact of Hydroxyl Functionalization and Unsaturation on Linear Poly(ethylene-co-vinyl alcohol)</t>
  </si>
  <si>
    <t>Coughlin, Edward Bryan/PKR-1846-2026; Winey, Karen/HJH-7326-2023; Tu, Chien-Hua/GPT-4392-2022</t>
  </si>
  <si>
    <t>Nair, Vivek/0009-0002-0858-3565; Coughlin, E Bryan/0000-0001-7065-4366; Radzanowski, Anne/0000-0001-6453-3103; , James Votruba-zal/0009-0007-7048-9445; Fastow, Eli/0000-0003-2674-2056; Winey, Karen/0000-0001-5856-3410; Tu, Chien-Hua/0000-0002-8351-7130</t>
  </si>
  <si>
    <t>FEB 24</t>
  </si>
  <si>
    <t>10.1021/acs.macromol.4c02575</t>
  </si>
  <si>
    <t>FEB 2025</t>
  </si>
  <si>
    <t>WOS:001432835700001</t>
  </si>
  <si>
    <t>Tu, WJ; Theisen, RQ; Jin, PF; Chenoweth, DM; Patel, AJ; Good, MC</t>
  </si>
  <si>
    <t>Tu, Wangjie; Theisen, Rachel Q.; Jin, Pengfei; Chenoweth, David M.; Patel, Amish J.; Good, Matthew C.</t>
  </si>
  <si>
    <t>Delivery of peptide coacervates to form stable interaction hubs in cells</t>
  </si>
  <si>
    <t>NATURE COMMUNICATIONS</t>
  </si>
  <si>
    <t>; Good, Matthew/GLS-0964-2022</t>
  </si>
  <si>
    <t>Tu, Wangjie/0009-0007-5741-2021; Jin, Pengfei/0000-0002-7723-3051;</t>
  </si>
  <si>
    <t>2041-1723</t>
  </si>
  <si>
    <t>FEB 2</t>
  </si>
  <si>
    <t>10.1038/s41467-026-68793-7</t>
  </si>
  <si>
    <t>WOS:001714836900008</t>
  </si>
  <si>
    <t>Ogbu, IM; Fastow, EJ; Zhu, WH; Wells, LA; Chethalen, RJ; Nair, V; Hinton, ZR; Balzer, AH; Hu, WG; Coughlin, EB; Winey, KI; Kozlowski, MC</t>
  </si>
  <si>
    <t>Ogbu, Ikechukwu Martin; Fastow, Eli J.; Zhu, Weihao; Wells, Lucille A.; Chethalen, Roshni J.; Nair, Vivek; Hinton, Zachary R.; Balzer, Alex H.; Hu, Weiguo; Coughlin, E. Bryan; Winey, Karen I.; Kozlowski, Marisa C.</t>
  </si>
  <si>
    <t>Hydrocarboxylation of C=C Bonds in Polycyclooctene: Progress Toward Valorization of Waste Polyolefins</t>
  </si>
  <si>
    <t>Zhu, Weihao/MGW-2190-2025; Winey, Karen/HJH-7326-2023; Coughlin, Edward Bryan/PKR-1846-2026</t>
  </si>
  <si>
    <t>Zhu, Weihao/0000-0001-7746-3722; Fastow, Eli/0000-0003-2674-2056; Ikechukwu, Ogbu/0000-0002-9053-7519; Nair, Vivek/0009-0002-0858-3565; Balzer, Alex/0000-0002-3071-4085; Kozlowski, Marisa/0000-0002-4225-7125;</t>
  </si>
  <si>
    <t>JUN 4</t>
  </si>
  <si>
    <t>10.1021/acs.macromol.4c00771</t>
  </si>
  <si>
    <t>JUN 2024</t>
  </si>
  <si>
    <t>WOS:001239418900001</t>
  </si>
  <si>
    <t>Dutta, TT; Suprewicz, L; Mollenkopf, P; Shi, XC; Hoole, L; Tang, JX; Janmey, PA</t>
  </si>
  <si>
    <t>Dutta, Thomas T.; Suprewicz, Lukasz; Mollenkopf, Paul; Shi, Xuechen; Hoole, Linn; Tang, Jay X.; Janmey, Paul A.</t>
  </si>
  <si>
    <t>Mechanical strain modulates enzymatic remodeling of fibrin networks</t>
  </si>
  <si>
    <t>POLYMER</t>
  </si>
  <si>
    <t>, Paul/0000-0003-4653-1643; Suprewicz, Łukasz/0000-0001-6666-9688; Tang, Jay/0000-0002-1022-4337</t>
  </si>
  <si>
    <t>0032-3861</t>
  </si>
  <si>
    <t>1873-2291</t>
  </si>
  <si>
    <t>OCT 13</t>
  </si>
  <si>
    <t>10.1016/j.polymer.2025.128860</t>
  </si>
  <si>
    <t>JUL 2025</t>
  </si>
  <si>
    <t>WOS:001543740000001</t>
  </si>
  <si>
    <t>Pande, SS; Fulco, S; Turner, KT</t>
  </si>
  <si>
    <t>Pande, Sumukh S.; Fulco, Sage; Turner, Kevin T.</t>
  </si>
  <si>
    <t>Mechanics-Based Optimization of Shear Lap Joints for Enhanced Force Capacity</t>
  </si>
  <si>
    <t>ACS APPLIED ENGINEERING MATERIALS</t>
  </si>
  <si>
    <t>Fulco, Sage/MGA-2373-2025; Turner, Kevin/LTC-4848-2024</t>
  </si>
  <si>
    <t>Turner, Kevin/0000-0003-4963-4568</t>
  </si>
  <si>
    <t>2771-9545</t>
  </si>
  <si>
    <t>FEB 20</t>
  </si>
  <si>
    <t>10.1021/acsaenm.3c00568</t>
  </si>
  <si>
    <t>FEB 2024</t>
  </si>
  <si>
    <t>WOS:001289335500001</t>
  </si>
  <si>
    <t>Yousefian, P; Tong, XL; Tan, J; Pradhan, DK; Jariwala, D; Olsson, RH</t>
  </si>
  <si>
    <t>Yousefian, Pedram; Tong, Xiaolei; Tan, Jonathan; Pradhan, Dhiren K.; Jariwala, Deep; Olsson, Roy H.</t>
  </si>
  <si>
    <t>Leakage Suppression Across Temperature in Al1-xScxN Thin Film Ferroelectric Capacitors Through Boron Incorporation</t>
  </si>
  <si>
    <t>IEEE ELECTRON DEVICE LETTERS</t>
  </si>
  <si>
    <t>; Yousefian, Pedram/HKN-8245-2023; Pradhan, Dhiren K/J-7280-2019; Jariwala, Deep/E-9913-2013</t>
  </si>
  <si>
    <t>Tong, Xiaolei/0009-0008-4123-1709; Pradhan, Dhiren K/0000-0003-1497-9267; Olsson, Roy/0000-0002-8007-5082</t>
  </si>
  <si>
    <t>0741-3106</t>
  </si>
  <si>
    <t>1558-0563</t>
  </si>
  <si>
    <t>SEP</t>
  </si>
  <si>
    <t>10.1109/LED.2025.3587950</t>
  </si>
  <si>
    <t>WOS:001565172600018</t>
  </si>
  <si>
    <t>Singer, CA; Abdul-Karim, H; Printon, K; Poluri, N; Teng, T; Akbari, M; Modanloo, B; Mogas-Soldevila, L; Akbarzadeh, M; Hu, X; O'Malley, SM; Fang, H; de la Cruz, D</t>
  </si>
  <si>
    <t>Singer, Creston A.; Abdul-Karim, Hajara; Printon, Kyle; Poluri, Nagireddy; Teng, Teng; Akbari, Mostafa; Modanloo, Behzad; Mogas-Soldevila, Laia; Akbarzadeh, Masoud; Hu, Xiao; O'Malley, Sean M.; Fang, Hong; de la Cruz, David</t>
  </si>
  <si>
    <t>Plasticized agarose films: A physicochemical, mechanical and thermal study</t>
  </si>
  <si>
    <t>INTERNATIONAL JOURNAL OF BIOLOGICAL MACROMOLECULES</t>
  </si>
  <si>
    <t>Abdul-Karim, Hajara Bin/HSE-9816-2023; Akbari, Mostafa/KII-2978-2024; Teng, Teng/LWJ-7554-2024; Fang, Hong/AFZ-9191-2022</t>
  </si>
  <si>
    <t>Abdul-Karim, Hajara Bin/0000-0003-3629-4189; O'Malley, Sean/0000-0001-5825-7421; poluri, Nagireddy/0009-0003-6571-045X; Fang, Hong/0000-0002-0968-8687</t>
  </si>
  <si>
    <t>0141-8130</t>
  </si>
  <si>
    <t>1879-0003</t>
  </si>
  <si>
    <t>MAY</t>
  </si>
  <si>
    <t>10.1016/j.ijbiomac.2025.141406</t>
  </si>
  <si>
    <t>MAR 2025</t>
  </si>
  <si>
    <t>WOS:001439337400001</t>
  </si>
  <si>
    <t>Yeh, CK; Huang, Y; Schoenmakers, LH; Lee, D</t>
  </si>
  <si>
    <t>Yeh, Charles K.; Huang, Yijin; Schoenmakers, Luuk H.; Lee, Daeyeon</t>
  </si>
  <si>
    <t>Tunable Gas Bubbles within Gas-Encapsulating Microcapsules (GEMs) for Buoyancy-Driven Purification</t>
  </si>
  <si>
    <t>ACS APPLIED MATERIALS &amp; INTERFACES</t>
  </si>
  <si>
    <t>Schoenmakers, Luuk Hein/0009-0002-9036-3413</t>
  </si>
  <si>
    <t>1944-8244</t>
  </si>
  <si>
    <t>1944-8252</t>
  </si>
  <si>
    <t>AUG 6</t>
  </si>
  <si>
    <t>10.1021/acsami.5c08301</t>
  </si>
  <si>
    <t>WOS:001539126600001</t>
  </si>
  <si>
    <t>Morimitsu, Y; Browne, CA; Liu, Z; Severino, PG; Gopinadhan, M; Sirota, EB; Altintas, O; Edmond, KV; Osuji, CO</t>
  </si>
  <si>
    <t>Morimitsu, Yuma; Browne, Christopher A.; Liu, Zhe; Severino, Paul G.; Gopinadhan, Manesh; Sirota, Eric B.; Altintas, Ozcan; Edmond, Kazem V.; Osuji, Chinedum O.</t>
  </si>
  <si>
    <t>Spontaneous assembly of condensate networks during the demixing of structured fluids</t>
  </si>
  <si>
    <t>PROCEEDINGS OF THE NATIONAL ACADEMY OF SCIENCES OF THE UNITED STATES OF AMERICA</t>
  </si>
  <si>
    <t>Sirota, Eric/A-7633-2009; Edmond, Kazem/B-4686-2008; Morimitsu, Yuma/AHE-7854-2022</t>
  </si>
  <si>
    <t>Altintas, Ozcan/0000-0003-3725-4613; Severino, Paul/0000-0002-1648-4148; Liu, Zhe/0000-0001-5017-7881; Morimitsu, Yuma/0000-0001-7303-0006; Browne, Christopher/0000-0002-3945-9906; Gopinadhan, Manesh/0000-0001-8452-6613</t>
  </si>
  <si>
    <t>0027-8424</t>
  </si>
  <si>
    <t>1091-6490</t>
  </si>
  <si>
    <t>SEP 24</t>
  </si>
  <si>
    <t>e2407914121</t>
  </si>
  <si>
    <t>10.1073/pnas.2407914121</t>
  </si>
  <si>
    <t>WOS:001369554000010</t>
  </si>
  <si>
    <t>Chen, YH; Mandic, M; Slaughter, CG; Tanaka, M; Kikkawa, JM; Collings, PJ; Yodh, AG</t>
  </si>
  <si>
    <t>Chen, Yihao; Mandic, Mina; Slaughter, Charlotte G.; Tanaka, Michio; Kikkawa, James M.; Collings, Peter J.; Yodh, A. G.</t>
  </si>
  <si>
    <t>Morphology and line tension of twist disclinations in a nematic liquid crystal</t>
  </si>
  <si>
    <t>SOFT MATTER</t>
  </si>
  <si>
    <t>; Slaughter, Charlotte/LFV-2044-2024; Chen, Yihao/HKV-3310-2023</t>
  </si>
  <si>
    <t>Tanaka, Michio/0000-0002-8301-8171; Yodh, Arjun/0000-0003-4744-2706; Slaughter, Charlotte/0009-0009-1950-9556; Mandic, Mina/0000-0002-1052-9069; Chen, Yihao/0000-0002-9956-5719</t>
  </si>
  <si>
    <t>1744-683X</t>
  </si>
  <si>
    <t>1744-6848</t>
  </si>
  <si>
    <t>NOV 20</t>
  </si>
  <si>
    <t>10.1039/d4sm01076k</t>
  </si>
  <si>
    <t>OCT 2024</t>
  </si>
  <si>
    <t>WOS:001347639300001</t>
  </si>
  <si>
    <t>Fulco, S; Budzik, MK; Xiao, HY; Durian, DJ; Turner, KT</t>
  </si>
  <si>
    <t>Fulco, Sage; Budzik, Michal K.; Xiao, Hongyi; Durian, Douglas J.; Turner, Kevin T.</t>
  </si>
  <si>
    <t>Disorder enhances the fracture toughness of 2D mechanical metamaterials</t>
  </si>
  <si>
    <t>PNAS NEXUS</t>
  </si>
  <si>
    <t>Turner, Kevin/LTC-4848-2024; Xiao, Hongyi/AAM-5333-2020; Durian, Douglas/D-7013-2012; Budzik, Michal/JAC-7781-2023; Fulco, Sage/MGA-2373-2025</t>
  </si>
  <si>
    <t>Turner, Kevin/0000-0003-4963-4568; Xiao, Hongyi/0000-0001-5174-2061; Durian, Douglas/0000-0003-3240-2381; Budzik, Michal/0000-0002-6429-0364; Fulco, Sage/0000-0002-4591-0521</t>
  </si>
  <si>
    <t>2752-6542</t>
  </si>
  <si>
    <t>FEB 7</t>
  </si>
  <si>
    <t>pgaf023</t>
  </si>
  <si>
    <t>10.1093/pnasnexus/pgaf023</t>
  </si>
  <si>
    <t>WOS:001415072600001</t>
  </si>
  <si>
    <t>Lee, HH; Choi, JH; Kim, DS; Jeon, S; Stach, EA; Cho, HK</t>
  </si>
  <si>
    <t>Lee, Hak Hyeon; Choi, Ji Hoon; Kim, Dong Su; Jeon, Sungho; Stach, Eric A.; Cho, Hyung Koun</t>
  </si>
  <si>
    <t>Electrochemical Glycerol Valorization Using Tolerant Pt Embedded Bi Platform Electrocatalysts Derived From Photoactive Bismuth Oxyiodide Nanosheet Intermediates</t>
  </si>
  <si>
    <t>ECOMAT</t>
  </si>
  <si>
    <t>Jeon, Sungho/ACN-4868-2022; Stach, Eric/D-8545-2011; Cho, Hyung Koun/P-2007-2017; Kim, Dong Su/IAN-1770-2023</t>
  </si>
  <si>
    <t>Jeon, Sungho/0000-0002-2262-6819; Stach, Eric/0000-0002-3366-2153; Cho, Hyung Koun/0000-0003-0861-523X; Kim, Dong Su/0000-0002-9911-829X; Lee, Hak Hyeon/0000-0001-9961-5168; Choi, Ji Hoon/0000-0002-2189-3851</t>
  </si>
  <si>
    <t>2567-3173</t>
  </si>
  <si>
    <t>DEC</t>
  </si>
  <si>
    <t>10.1002/eom2.12504</t>
  </si>
  <si>
    <t>NOV 2024</t>
  </si>
  <si>
    <t>WOS:001357301900001</t>
  </si>
  <si>
    <t>Schulte, L; Qin, SH; Jung, WN; George, C; Dillenburger, JD; Venkatesh, A; Ishak, MK; Wonderling, NM; Marth, S; Park, H; Bae, C; Rappe, AM; Mallouk, TE</t>
  </si>
  <si>
    <t>Schulte, Leanna; Qin, Shihan; Jung, Wonil; George, Christy; Dillenburger, Jarrett D.; Venkatesh, Akshay; Ishak, Muhammad K.; Wonderling, Nichole M.; Marth, Sariah; Park, Heemin; Bae, Chulsung; Rappe, Andrew M.; Mallouk, Thomas E.</t>
  </si>
  <si>
    <t>Solid-State Hydroxide Ion Conductivity in Silver(I) Oxide, Ag2O</t>
  </si>
  <si>
    <t>CHEMISTRY OF MATERIALS</t>
  </si>
  <si>
    <t>Park, Heemin/GRO-5187-2022; Dillenburger, Jarrett/JIX-1085-2023; Mallouk, Thomas/K-7391-2012; Rappe, Andrew/HFZ-8855-2022</t>
  </si>
  <si>
    <t>Dillenburger, Jarrett/0000-0001-8274-6452; Schulte, Leanna/0000-0002-6970-8811; Wonderling, Nichole M/0000-0001-6866-2607; Park, Heemin/0009-0005-7194-3078; Jung, Wonil/0009-0008-0625-8105</t>
  </si>
  <si>
    <t>0897-4756</t>
  </si>
  <si>
    <t>1520-5002</t>
  </si>
  <si>
    <t>NOV 26</t>
  </si>
  <si>
    <t>10.1021/acs.chemmater.4c02082</t>
  </si>
  <si>
    <t>WOS:001363814100001</t>
  </si>
  <si>
    <t>Huang, QY; Yu, KH; Bae, JY; Lee, Y; Aviv, D; Yang, S</t>
  </si>
  <si>
    <t>Huang, Qingya; Yu, Kun-Hao; Bae, Ji Yoon; Lee, Yunchan; Aviv, Dorit; Yang, Shu</t>
  </si>
  <si>
    <t>Elephant-Skin-Inspired Porous Cementitious Tiles with Programmable Crack Networks for Passive Cooling</t>
  </si>
  <si>
    <t>ADVANCED MATERIALS</t>
  </si>
  <si>
    <t>0935-9648</t>
  </si>
  <si>
    <t>1521-4095</t>
  </si>
  <si>
    <t>2026 APR 20</t>
  </si>
  <si>
    <t>10.1002/adma.202523133</t>
  </si>
  <si>
    <t>APR 2026</t>
  </si>
  <si>
    <t>WOS:001743729800001</t>
  </si>
  <si>
    <t>Meng, AC; Cheng, PF; Kidambi, PR; Singh, N; Song, YY; Stach, EA</t>
  </si>
  <si>
    <t>Meng, Andrew C.; Cheng, Peifu; Kidambi, Piran R.; Singh, Nikhilendra; Song, Yuyang; Stach, Eric A.</t>
  </si>
  <si>
    <t>Characterization of iron-based alloy catalysts for atmospheric pressure chemical vapor deposition of carbon nanofibers via in situ transmission electron microscopy</t>
  </si>
  <si>
    <t>JOURNAL OF VACUUM SCIENCE &amp; TECHNOLOGY B</t>
  </si>
  <si>
    <t>; Meng, Andrew/HNJ-5807-2023; Stach, Eric/D-8545-2011</t>
  </si>
  <si>
    <t>Cheng, Peifu/0000-0001-6010-6411; Stach, Eric/0000-0002-3366-2153</t>
  </si>
  <si>
    <t>2166-2746</t>
  </si>
  <si>
    <t>2166-2754</t>
  </si>
  <si>
    <t>JUL</t>
  </si>
  <si>
    <t>10.1116/6.0004664</t>
  </si>
  <si>
    <t>WOS:001520589500001</t>
  </si>
  <si>
    <t>Geometry of contraction-induced flows</t>
  </si>
  <si>
    <t>PHYSICAL REVIEW FLUIDS</t>
  </si>
  <si>
    <t>2469-990X</t>
  </si>
  <si>
    <t>MAR 12</t>
  </si>
  <si>
    <t>10.1103/pw9s-vvf4</t>
  </si>
  <si>
    <t>WOS:001718607000001</t>
  </si>
  <si>
    <t>Kim, YC; Hoang, S; Winey, KI; Composto, RJ</t>
  </si>
  <si>
    <t>Kim, Ye Chan; Hoang, Son; Winey, Karen I.; Composto, Russell J.</t>
  </si>
  <si>
    <t>Size-Dependent Electrostatic Adsorption of Polymer-Grafted Gold Nanoparticles on Polyelectrolyte Brushes</t>
  </si>
  <si>
    <t>; Kim, Yechan/ITV-0007-2023; Winey, Karen/HJH-7326-2023; Hoang, Son/F-2795-2013</t>
  </si>
  <si>
    <t>Composto, Russell/0000-0002-5906-2594; Kim, Yechan/0000-0002-5122-9716; Winey, Karen/0000-0001-5856-3410;</t>
  </si>
  <si>
    <t>OCT 26</t>
  </si>
  <si>
    <t>10.1021/acsami.4c14774</t>
  </si>
  <si>
    <t>WOS:001343724300001</t>
  </si>
  <si>
    <t>Lee, Y; Nah, SH; Wang, KY; Chi, YD; Kim, JB; Zhang, ZY; Yang, S</t>
  </si>
  <si>
    <t>Lee, Yunchan; Nah, So Hee; Wang, Kun-Yu; Chi, Yinding; Kim, Jong Bin; Zhang, Ziyun; Yang, Shu</t>
  </si>
  <si>
    <t>Highly Scalable, Raspberry-Like Microbeads with Nano-/Micro-Confined Hybrid Hydrogel Desiccants for Rapid Atmospheric Water Harvesting</t>
  </si>
  <si>
    <t>ADVANCED FUNCTIONAL MATERIALS</t>
  </si>
  <si>
    <t>Yang, Shu/D-9758-2011; Wang, Kunyu/AGM-0841-2022</t>
  </si>
  <si>
    <t>Chi, Yinding/0000-0003-2674-721X; Nah, So Hee/0000-0002-1564-201X; Kim, Jong Bin/0000-0002-6343-1532; Wang, Kunyu/0000-0001-8982-0547; Lee, Yunchan/0000-0002-1276-1830</t>
  </si>
  <si>
    <t>1616-301X</t>
  </si>
  <si>
    <t>1616-3028</t>
  </si>
  <si>
    <t>10.1002/adfm.202506725</t>
  </si>
  <si>
    <t>JUN 2025</t>
  </si>
  <si>
    <t>WOS:001499897700001</t>
  </si>
  <si>
    <t>Choi, JH; Lee, HH; Jeon, S; Sarker, S; Kim, DS; Stach, EA; Cho, HK</t>
  </si>
  <si>
    <t>Choi, Ji Hoon; Lee, Hak Hyeon; Jeon, Sungho; Sarker, Swagotom; Kim, Dong Su; Stach, Eric A.; Cho, Hyung Koun</t>
  </si>
  <si>
    <t>Photoilluminated Redox-Processed Rh2P Nanoparticles on Photocathodes for Stable Hydrogen Production in Acidic Environments</t>
  </si>
  <si>
    <t>김, 동수/IAN-1770-2023; Cho, Hyung Koun/P-2007-2017; Jeon, Sungho/ACN-4868-2022; Stach, Eric/D-8545-2011</t>
  </si>
  <si>
    <t>Cho, Hyung Koun/0000-0003-0861-523X; Jeon, Sungho/0000-0002-2262-6819; Stach, Eric/0000-0002-3366-2153; Choi, Ji Hoon/0000-0002-2189-3851</t>
  </si>
  <si>
    <t>APR 17</t>
  </si>
  <si>
    <t>10.1021/acsami.4c02147</t>
  </si>
  <si>
    <t>APR 2024</t>
  </si>
  <si>
    <t>WOS:001204975200001</t>
  </si>
  <si>
    <t>Hangarter, CM; Rus, ED; Liu, Y; Shin, JW; Oleshko, VP; Ro, HW; Composto, RJ; Soles, C; Dura, JA; Stafford, G; Bendersky, LA; Moffat, TP</t>
  </si>
  <si>
    <t>Hangarter, C. M.; Rus, E. D.; Liu, Y.; Shin, J. W.; Oleshko, V. P.; Ro, H. W.; Composto, R. J.; Soles, C.; Dura, J. A.; Stafford, G.; Bendersky, L. A.; Moffat, T. P.</t>
  </si>
  <si>
    <t>Dealloyed Pt74Ni26 and Pt26Ni74 Electrodeposited Thin Film Electrocatalysts for Oxygen Reduction</t>
  </si>
  <si>
    <t>JOURNAL OF THE ELECTROCHEMICAL SOCIETY</t>
  </si>
  <si>
    <t>Dura, Joseph/B-8452-2008; Oleshko, Vladimir P/A-6250-2014; Hangarter, Carlos/MIU-5474-2025</t>
  </si>
  <si>
    <t>Stafford, Gery/0000-0003-3445-9402; Oleshko, Vladimir P/0000-0003-0538-2354; Soles, Christopher/0000-0002-1963-6039; Composto, Russell/0000-0002-5906-2594; Hangarter, Carlos/0000-0002-7149-0903</t>
  </si>
  <si>
    <t>0013-4651</t>
  </si>
  <si>
    <t>1945-7111</t>
  </si>
  <si>
    <t>MAY 1</t>
  </si>
  <si>
    <t>10.1149/1945-7111/ad4310</t>
  </si>
  <si>
    <t>WOS:001235779700001</t>
  </si>
  <si>
    <t>Prott, LS; Gierthmuehlen, PC; Blatz, MB; Zhang, Y</t>
  </si>
  <si>
    <t>Prott, Lea S.; Gierthmuehlen, Petra C.; Blatz, Markus B.; Zhang, Yu</t>
  </si>
  <si>
    <t>Failure Prediction of Lithium Disilicate and Composition-Gradient Multilayered Zirconia Occlusal Veneers: A Fractographic and Theoretical Analysis</t>
  </si>
  <si>
    <t>MATERIALS</t>
  </si>
  <si>
    <t>; Blatz, Markus/KIK-5323-2024</t>
  </si>
  <si>
    <t>Prott, Lea Sophia/0000-0003-0792-0830; Zhang, Yu/0000-0002-6738-3769; Gierthmuehlen, Petra Christine/0000-0002-4837-2546</t>
  </si>
  <si>
    <t>1996-1944</t>
  </si>
  <si>
    <t>SEP 12</t>
  </si>
  <si>
    <t>10.3390/ma18184287</t>
  </si>
  <si>
    <t>WOS:001580691900001</t>
  </si>
  <si>
    <t>Wang, K; Winey, KI</t>
  </si>
  <si>
    <t>Nanoparticle Diffusion in Crowded Polymer Nanocomposite Melts</t>
  </si>
  <si>
    <t>ACS MACRO LETTERS</t>
  </si>
  <si>
    <t>Winey, Karen/HJH-7326-2023</t>
  </si>
  <si>
    <t>Winey, Karen/0000-0001-5856-3410; Wang, Kaitlin/0000-0003-2459-8767</t>
  </si>
  <si>
    <t>2161-1653</t>
  </si>
  <si>
    <t>SEP 17</t>
  </si>
  <si>
    <t>10.1021/acsmacrolett.4c00438</t>
  </si>
  <si>
    <t>AUG 2024</t>
  </si>
  <si>
    <t>WOS:001300386100001</t>
  </si>
  <si>
    <t>Wattana, R; Park, D; Osuji, CO</t>
  </si>
  <si>
    <t>Wattana, Ravisara; Park, Daehwan; Osuji, Chinedum O.</t>
  </si>
  <si>
    <t>Ion specific effects on the rheology of cellulose nanofibrils in the presence of salts</t>
  </si>
  <si>
    <t>Wattana, Ravisara/0009-0006-6280-8410</t>
  </si>
  <si>
    <t>JUN 11</t>
  </si>
  <si>
    <t>10.1039/d5sm00339c</t>
  </si>
  <si>
    <t>MAY 2025</t>
  </si>
  <si>
    <t>WOS:001492437600001</t>
  </si>
  <si>
    <t>Li, SS; Yu, KH; Garcia, I; Nah, SH; Chui, HNT; Tian, ZT; Yang, S</t>
  </si>
  <si>
    <t>Li, Shangsong; Yu, Kun-Hao; Garcia, Isabel; Nah, So Hee; Chui, Hiu Ning Tiffany; Tian, Ziting; Yang, Shu</t>
  </si>
  <si>
    <t>Direct Ink Writing of Cephalopod Skin-Like Core-Shell Fibers From Cholesteric Liquid Crystal Elastomers and Dyed Solutions</t>
  </si>
  <si>
    <t>; Yu, Kun-Hao/MIJ-8365-2025; Yang, Shu/D-9758-2011; Garcia, Isabel/B-2193-2009</t>
  </si>
  <si>
    <t>Nah, So Hee/0000-0002-1564-201X; Li, Shangsong/0000-0003-4660-3117; Yu, Kun-Hao/0000-0003-2306-1175;</t>
  </si>
  <si>
    <t>JAN</t>
  </si>
  <si>
    <t>10.1002/adfm.202413965</t>
  </si>
  <si>
    <t>WOS:001336348300001</t>
  </si>
  <si>
    <t>Kim, JB; Li, SS; Wang, KY; Chi, YD; Yang, S</t>
  </si>
  <si>
    <t>Kim, Jong Bin; Li, Shangsong; Wang, Kun-Yu; Chi, Yinding; Yang, Shu</t>
  </si>
  <si>
    <t>Multi-Mode Mechanochromic Responses from Cholesteric Liquid Crystal Elastomer Tubes of Uniform Sheath</t>
  </si>
  <si>
    <t>Wang, Kunyu/AGM-0841-2022; Yang, Shu/D-9758-2011</t>
  </si>
  <si>
    <t>Wang, Kunyu/0000-0001-8982-0547; Kim, Jong Bin/0000-0002-6343-1532; Li, Shangsong/0000-0003-4660-3117;</t>
  </si>
  <si>
    <t>AUG</t>
  </si>
  <si>
    <t>10.1002/adma.202504461</t>
  </si>
  <si>
    <t>WOS:001506059500001</t>
  </si>
  <si>
    <t>Luo, Y; Makkar, H; Hu, YT; Chen, KY; Purohit, PK; Vining, KH</t>
  </si>
  <si>
    <t>Luo, Yan; Makkar, Hardik; Hu, Yuntao; Chen, Keyu; Purohit, Prashant K.; Vining, Kyle H.</t>
  </si>
  <si>
    <t>Shape Memory Collagen Scaffolds Sustain Large-Scale Cyclic Loading</t>
  </si>
  <si>
    <t>ACS MATERIALS LETTERS</t>
  </si>
  <si>
    <t>Vining, Kyle/I-9256-2017; chen, keyu/LFT-0905-2024; Makkar, Hardik/AAM-9736-2021</t>
  </si>
  <si>
    <t>Vining, Kyle/0000-0002-4009-879X;</t>
  </si>
  <si>
    <t>2639-4979</t>
  </si>
  <si>
    <t>SEP 1</t>
  </si>
  <si>
    <t>10.1021/acsmaterialslett.5c00817</t>
  </si>
  <si>
    <t>AUG 2025</t>
  </si>
  <si>
    <t>WOS:001550474400001</t>
  </si>
  <si>
    <t>Porter, CM; Qian, GC; Grindel, SH; Hughes, AJ</t>
  </si>
  <si>
    <t>Porter, Catherine M.; Qian, Grace C.; Grindel, Samuel H.; Hughes, Alex J.</t>
  </si>
  <si>
    <t>Highly parallel production of designer organoids by mosaic patterning of progenitors</t>
  </si>
  <si>
    <t>CELL SYSTEMS</t>
  </si>
  <si>
    <t>Qian, Grace/0009-0003-4458-7579; Hughes, Alex/0000-0001-6801-3455</t>
  </si>
  <si>
    <t>2405-4712</t>
  </si>
  <si>
    <t>2405-4720</t>
  </si>
  <si>
    <t>JUL 17</t>
  </si>
  <si>
    <t>10.1016/j.cels.2024.06.004</t>
  </si>
  <si>
    <t>WOS:001273631200001</t>
  </si>
  <si>
    <t>Jin, PF; Rafizadeh, DN; Zhao, HY; Chenoweth, DM</t>
  </si>
  <si>
    <t>Jin, Pengfei; Rafizadeh, Diane N.; Zhao, Huanyi; Chenoweth, David M.</t>
  </si>
  <si>
    <t>β-Turn Mimicking Crosslinking Provides Hyperstability and Fast Folding Kinetics for Short Collagen Triple Helices</t>
  </si>
  <si>
    <t>CHEMBIOCHEM</t>
  </si>
  <si>
    <t>Chenoweth, David/0000-0002-0819-4669; Rafizadeh, Diane/0000-0002-2838-067X; Jin, Pengfei/0000-0002-7723-3051; Zhao, Huanyi/0009-0000-2579-5784</t>
  </si>
  <si>
    <t>1439-4227</t>
  </si>
  <si>
    <t>1439-7633</t>
  </si>
  <si>
    <t>JUN 16</t>
  </si>
  <si>
    <t>10.1002/cbic.202400834</t>
  </si>
  <si>
    <t>WOS:001448737900001</t>
  </si>
  <si>
    <t>Ohta, S; Singh, N; Rai, RK; Koh, H; Zhang, YH; Suk, W; Palmer, MJ; Hwang, SJ; Jones, M; Wang, CH; Ling, C; Masias, KS; Stavitski, E; Sakamoto, J; Stach, EA</t>
  </si>
  <si>
    <t>Ohta, Shingo; Singh, Nikhilendra; Rai, Rajeev Kumar; Koh, Hyeongjun; Zhang, Yihui; Suk, Wonjoon; Palmer, Max J.; Hwang, Son-Jong; Jones, Michael; Wang, Chuhong; Ling, Chen; Masias, Kimber Stamm; Stavitski, Eli; Sakamoto, Jeff; Stach, Eric A.</t>
  </si>
  <si>
    <t>Fast ionic conduction achieved through the design and synthesis of ceramic heterointerfaces</t>
  </si>
  <si>
    <t>JOULE</t>
  </si>
  <si>
    <t>Hwang, Sonjong/KMX-0849-2024; Wang, Chuhong/AGY-2907-2022; Ling, Chen/HGE-0857-2022; Stach, Eric/D-8545-2011; Stavitski, Eli/C-4863-2009</t>
  </si>
  <si>
    <t>Stach, Eric/0000-0002-3366-2153; Palmer, Max/0000-0003-0455-6738;</t>
  </si>
  <si>
    <t>2542-4351</t>
  </si>
  <si>
    <t>FEB 19</t>
  </si>
  <si>
    <t>10.1016/j.joule.2024.11.006</t>
  </si>
  <si>
    <t>WOS:001430976100001</t>
  </si>
  <si>
    <t>Wilk, JT; Furner, CT; Kent, EW; Kelly, MT; Zhao, B; Li, CY</t>
  </si>
  <si>
    <t>Wilk, Jeffrey T.; Furner, Carl T.; Kent, Ethan W.; Kelly, Michael T.; Zhao, Bin; Li, Christopher Y.</t>
  </si>
  <si>
    <t>Effect of Grafting Density on the Crystallization Behavior of Molecular Bottlebrushes</t>
  </si>
  <si>
    <t>Wilk, Jeffrey/0009-0002-3330-7714</t>
  </si>
  <si>
    <t>AUG 20</t>
  </si>
  <si>
    <t>10.1021/acs.macromol.4c00752</t>
  </si>
  <si>
    <t>WOS:001295150500001</t>
  </si>
  <si>
    <t>Fulco, S; Budzik, MK; Turner, KT</t>
  </si>
  <si>
    <t>Fulco, Sage; Budzik, Michal K.; Turner, Kevin T.</t>
  </si>
  <si>
    <t>Enhancing toughness through geometric control of the process zone</t>
  </si>
  <si>
    <t>JOURNAL OF THE MECHANICS AND PHYSICS OF SOLIDS</t>
  </si>
  <si>
    <t>Fulco, Sage/MGA-2373-2025; Budzik, Michal/JAC-7781-2023; Turner, Kevin/LTC-4848-2024</t>
  </si>
  <si>
    <t>Fulco, Sage/0000-0002-4591-0521; Budzik, Michal/0000-0002-6429-0364; Turner, Kevin/0000-0003-4963-4568</t>
  </si>
  <si>
    <t>0022-5096</t>
  </si>
  <si>
    <t>1873-4782</t>
  </si>
  <si>
    <t>10.1016/j.jmps.2024.105548</t>
  </si>
  <si>
    <t>WOS:001168048400001</t>
  </si>
  <si>
    <t>Kitto, D; Espinoza, C; Diaz, JC; Zamora, J; Kamcev, J</t>
  </si>
  <si>
    <t>Kitto, David; Espinoza, Carolina; Diaz, Jose C.; Zamora, Jacquelyn; Kamcev, Jovan</t>
  </si>
  <si>
    <t>Fast and selective ion transport in ultrahigh-charge-density membranes</t>
  </si>
  <si>
    <t>NATURE CHEMICAL ENGINEERING</t>
  </si>
  <si>
    <t>; Kamcev, Jovan/S-3505-2018</t>
  </si>
  <si>
    <t>Kitto, David/0000-0001-6863-2731; Kamcev, Jovan/0000-0003-0379-5171</t>
  </si>
  <si>
    <t>2948-1198</t>
  </si>
  <si>
    <t>APR</t>
  </si>
  <si>
    <t>10.1038/s44286-025-00205-x</t>
  </si>
  <si>
    <t>WOS:001550584900002</t>
  </si>
  <si>
    <t>Chen, CY; Wang, HN; Shamsabadi, AA; Fakhraai, Z</t>
  </si>
  <si>
    <t>Chen, Cindy Yueli; Wang, Haonan; Shamsabadi, Ahmad Arabi; Fakhraai, Zahra</t>
  </si>
  <si>
    <t>Thermal Stability and Photostability of Highly Confined Molecular Nanocomposites</t>
  </si>
  <si>
    <t>JOURNAL OF PHYSICAL CHEMISTRY B</t>
  </si>
  <si>
    <t>WANG, HAONAN/0000-0003-2047-5380; Chen, Cindy/0000-0001-7401-3638; Fakhraai, Zahra/0000-0002-0597-9882; Arabi Shamsabadi, Ahmad/0000-0002-9726-2466</t>
  </si>
  <si>
    <t>1520-6106</t>
  </si>
  <si>
    <t>1520-5207</t>
  </si>
  <si>
    <t>DEC 12</t>
  </si>
  <si>
    <t>10.1021/acs.jpcb.4c06713</t>
  </si>
  <si>
    <t>DEC 2024</t>
  </si>
  <si>
    <t>WOS:001376014600001</t>
  </si>
  <si>
    <t>Saetra, MJ; Mori, Y</t>
  </si>
  <si>
    <t>Saetra, Marte J.; Mori, Yoichiro</t>
  </si>
  <si>
    <t>An electrodiffusive network model with multicompartmental neurons and synaptic connections</t>
  </si>
  <si>
    <t>PLOS COMPUTATIONAL BIOLOGY</t>
  </si>
  <si>
    <t>Sætra, Marte Julie/0000-0002-7225-1883</t>
  </si>
  <si>
    <t>1553-734X</t>
  </si>
  <si>
    <t>1553-7358</t>
  </si>
  <si>
    <t>e1012114</t>
  </si>
  <si>
    <t>10.1371/journal.pcbi.1012114</t>
  </si>
  <si>
    <t>WOS:001352658900001</t>
  </si>
  <si>
    <t>Jin, PF; Chenoweth, DM</t>
  </si>
  <si>
    <t>Jin, Pengfei; Chenoweth, David M.</t>
  </si>
  <si>
    <t>Programmable Steric Control of Collagen Peptide-to-Fiber Assembly</t>
  </si>
  <si>
    <t>JOURNAL OF THE AMERICAN CHEMICAL SOCIETY</t>
  </si>
  <si>
    <t>0002-7863</t>
  </si>
  <si>
    <t>1520-5126</t>
  </si>
  <si>
    <t>APR 29</t>
  </si>
  <si>
    <t>10.1021/jacs.6c00833</t>
  </si>
  <si>
    <t>WOS:001742376300001</t>
  </si>
  <si>
    <t>Rai, RK; Serra-Maia, R; Shi, YJ; Psarras, P; Vojvodic, A; Stach, EA</t>
  </si>
  <si>
    <t>Rai, Rajeev Kumar; Serra-Maia, Rui; Shi, Yingjie; Psarras, Peter; Vojvodic, Aleksandra; Stach, Eric A.</t>
  </si>
  <si>
    <t>Enhanced mineral carbonation on surface functionalized MgO as a proxy for mine tailings</t>
  </si>
  <si>
    <t>ENVIRONMENTAL SCIENCE-NANO</t>
  </si>
  <si>
    <t>Shi, Yingjie/LLK-4393-2024; Vojvodic, Aleksandra/C-3383-2014; Serra Maia, Rui/PMF-6601-2026; Stach, Eric/D-8545-2011</t>
  </si>
  <si>
    <t>Vojvodic, Aleksandra/0000-0002-5584-6711; Stach, Eric/0000-0002-3366-2153</t>
  </si>
  <si>
    <t>2051-8153</t>
  </si>
  <si>
    <t>2051-8161</t>
  </si>
  <si>
    <t>MAY 16</t>
  </si>
  <si>
    <t>10.1039/d4en00940a</t>
  </si>
  <si>
    <t>WOS:001458492400001</t>
  </si>
  <si>
    <t>Leblanc, C; Cho, H; Zhang, YN; Song, S; Anderson, Z; He, YF; Chen, C; Rai, RK; Redwing, JM; Stach, EA; Olsson, RH III; Jariwala, D</t>
  </si>
  <si>
    <t>Leblanc, Chloe; Cho, Hyunmin; Zhang, Yinuo; Song, Seunguk; Anderson, Zachary; He, Yunfei; Chen, Chen; Rai, Rajeev Kumar; Redwing, Joan M.; Stach, Eric A.; Olsson III, Roy H.; Jariwala, Deep</t>
  </si>
  <si>
    <t>Low-voltage ferroelectric field-effect transistors with ultrathin aluminum scandium nitride and 2D channels</t>
  </si>
  <si>
    <t>DEVICE</t>
  </si>
  <si>
    <t>Jariwala, Deep/E-9913-2013; Stach, Eric/AEW-3315-2022; Redwing, Joan/V-7528-2017</t>
  </si>
  <si>
    <t>2666-9986</t>
  </si>
  <si>
    <t>MAR 20</t>
  </si>
  <si>
    <t>10.1016/j.device.2025.100989</t>
  </si>
  <si>
    <t>WOS:001724484000001</t>
  </si>
  <si>
    <t>Sun, K; Kim, YC; Composto, RJ; Winey, KI</t>
  </si>
  <si>
    <t>Sun, Katie; Kim, Ye Chan; Composto, Russell J.; Winey, Karen I.</t>
  </si>
  <si>
    <t>Gold Nanoparticle Adsorption in Covalently Bonded Weak Polyelectrolyte Brushes</t>
  </si>
  <si>
    <t>Kim, Yechan/0000-0002-5122-9716; Composto, Russell/0000-0002-5906-2594; Winey, Karen/0000-0001-5856-3410; Sun, Katie/0009-0001-6030-8379</t>
  </si>
  <si>
    <t>FEB 28</t>
  </si>
  <si>
    <t>10.1021/acs.macromol.4c02332</t>
  </si>
  <si>
    <t>WOS:001435072300001</t>
  </si>
  <si>
    <t>Fancher, S; Sarpangala, N; Purohit, PK; Katifori, E</t>
  </si>
  <si>
    <t>Fancher, Sean; Sarpangala, Niranjan; Purohit, Prashant K.; Katifori, Eleni</t>
  </si>
  <si>
    <t>Analysis of disordered trusses using network Laplacians</t>
  </si>
  <si>
    <t>; Sarpangala, Niranjan/PSL-4477-2026</t>
  </si>
  <si>
    <t>Purohit, Prashant/0000-0002-1939-907X; Sarpangala, Niranjan/0000-0002-0947-1488</t>
  </si>
  <si>
    <t>DEC 3</t>
  </si>
  <si>
    <t>10.1039/d5sm00619h</t>
  </si>
  <si>
    <t>OCT 2025</t>
  </si>
  <si>
    <t>WOS:001607649800001</t>
  </si>
  <si>
    <t>Vigil, DL; Ferko, BT; Saumer, A; Mecking, S; Stevens, MJ; Winey, KI; Frischknecht, AL</t>
  </si>
  <si>
    <t>Vigil, Daniel L.; Ferko, Benjamin T.; Saumer, Anne; Mecking, Stefan; Stevens, Mark J.; Winey, Karen I.; Frischknecht, Amalie L.</t>
  </si>
  <si>
    <t>Partial Solvation of Lithium Ions Enhances Conductivity in a Nanophase-Separated Polymer Electrolyte</t>
  </si>
  <si>
    <t>Mecking, Stefan/E-6991-2012; Frischknecht, Amalie/N-1020-2014; Winey, Karen/HJH-7326-2023</t>
  </si>
  <si>
    <t>Mecking, Stefan/0000-0002-6618-6659; Ferko, Benjamin/0009-0006-3808-1610; Frischknecht, Amalie/0000-0003-2112-2587; Vigil, Daniel/0000-0001-9860-0888; Winey, Karen/0000-0001-5856-3410; Saumer, Anne/0000-0002-6103-4402</t>
  </si>
  <si>
    <t>SEP 28</t>
  </si>
  <si>
    <t>10.1021/acs.chemmater.4c02398</t>
  </si>
  <si>
    <t>WOS:001324872600001</t>
  </si>
  <si>
    <t>Bodkin, LN; Johnson, CW; Culley, KE; Krajnak, ZA; Hage, JR; Kim, NK; Osuji, CO; Gin, DL</t>
  </si>
  <si>
    <t>Bodkin, Lauren N.; Johnson, Christopher W.; Culley, Keira E.; Krajnak, Zachary A.; Hage, Jeffrey R.; Kim, Na Kyung; Osuji, Chinedum O.; Gin, Douglas L.</t>
  </si>
  <si>
    <t>Effect of localized control of cross-link density on mechanical properties of bicontinuous cubic lyotropic networks via copolymerization with different singly-polymerizable monomers</t>
  </si>
  <si>
    <t>Culley, Keira/HLX-2867-2023; Johnson, Christopher/OLS-0029-2025; Kim, Na Kyung/IQS-1278-2023; Gin, Douglas/AAW-5360-2021</t>
  </si>
  <si>
    <t>Culley, Keira/0009-0008-3605-0030; Johnson, Christopher/0009-0009-2395-007X; Bodkin, Lauren/0000-0002-7633-300X; Hage, Jeffrey/0009-0008-7221-5680</t>
  </si>
  <si>
    <t>JAN 12</t>
  </si>
  <si>
    <t>10.1016/j.polymer.2023.126615</t>
  </si>
  <si>
    <t>DEC 2023</t>
  </si>
  <si>
    <t>WOS:001148002200001</t>
  </si>
  <si>
    <t>Oh, SM; Lee, VS; Drayer, WF; Win, MS; Jones, LF; Leo, CM; Kennemur, JG; Frischknecht, AL; Winey, KI</t>
  </si>
  <si>
    <t>Oh, Sol Mi; Lee, Victoria S.; Drayer, William F.; Win, Max S.; Jones, Lindsay F.; Leo, Courtney M.; Kennemur, Justin G.; Frischknecht, Amalie L.; Winey, Karen I.</t>
  </si>
  <si>
    <t>Effect of Sulfonation Level on the Percolated Morphology and Proton Conductivity of Hydrated Fluorine-Free Copolymers: Experiments and Simulations</t>
  </si>
  <si>
    <t>JACS AU</t>
  </si>
  <si>
    <t>; Winey, Karen/HJH-7326-2023; Kennemur, Justin/AHH-3794-2022; Frischknecht, Amalie/N-1020-2014</t>
  </si>
  <si>
    <t>Jones, Lindsay/0000-0001-8289-296X; ayer, William/0000-0003-4419-6597; Win, Max/0000-0002-2077-4180; Oh, Sol Mi/0000-0003-3632-4421; Winey, Karen/0000-0001-5856-3410;</t>
  </si>
  <si>
    <t>2691-3704</t>
  </si>
  <si>
    <t>JUN 5</t>
  </si>
  <si>
    <t>10.1021/jacsau.5c00218</t>
  </si>
  <si>
    <t>WOS:001503506600001</t>
  </si>
  <si>
    <t>Koh, H; Das, S; Zhang, YH; Detsi, E; Stach, EA</t>
  </si>
  <si>
    <t>Koh, Hyeongjun; Das, Swarnendu; Zhang, Yihui; Detsi, Eric; Stach, Eric A.</t>
  </si>
  <si>
    <t>Electron Beam-Induced Artifacts in SEI Characterization: Evidence from Controlled-Dose Diffraction Studies</t>
  </si>
  <si>
    <t>ACS ENERGY LETTERS</t>
  </si>
  <si>
    <t>; Stach, Eric/D-8545-2011; Zhang, Yihui/JBS-7409-2023</t>
  </si>
  <si>
    <t>Das, Swarnendu/0009-0008-5197-6763; Stach, Eric/0000-0002-3366-2153;</t>
  </si>
  <si>
    <t>2380-8195</t>
  </si>
  <si>
    <t>JAN 2</t>
  </si>
  <si>
    <t>10.1021/acsenergylett.4c03337</t>
  </si>
  <si>
    <t>JAN 2025</t>
  </si>
  <si>
    <t>WOS:001388647400001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</si>
</sst>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6EA9-2622-624C-8D59-66A577610FE1}">
  <dimension ref="A1:BT51"/>
  <sheetViews>
    <sheetView tabSelected="1" workbookViewId="0"/>
  </sheetViews>
  <sheetFormatPr baseColWidth="10" defaultRowHeight="13" x14ac:dyDescent="0.15"/>
  <cols>
    <col min="1" max="256" width="8.83203125" customWidth="1"/>
  </cols>
  <sheetData>
    <row r="1" spans="1:7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15">
      <c r="A2" t="s">
        <v>72</v>
      </c>
      <c r="B2" t="s">
        <v>73</v>
      </c>
      <c r="C2" t="s">
        <v>74</v>
      </c>
      <c r="D2" t="s">
        <v>74</v>
      </c>
      <c r="E2" t="s">
        <v>74</v>
      </c>
      <c r="F2" t="s">
        <v>75</v>
      </c>
      <c r="G2" t="s">
        <v>74</v>
      </c>
      <c r="H2" t="s">
        <v>74</v>
      </c>
      <c r="I2" t="s">
        <v>76</v>
      </c>
      <c r="J2" t="s">
        <v>77</v>
      </c>
      <c r="K2" t="s">
        <v>74</v>
      </c>
      <c r="L2" t="s">
        <v>74</v>
      </c>
      <c r="M2" t="s">
        <v>74</v>
      </c>
      <c r="N2" t="s">
        <v>74</v>
      </c>
      <c r="O2" t="s">
        <v>74</v>
      </c>
      <c r="P2" t="s">
        <v>74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 t="s">
        <v>74</v>
      </c>
      <c r="W2" t="s">
        <v>74</v>
      </c>
      <c r="X2" t="s">
        <v>74</v>
      </c>
      <c r="Y2" t="s">
        <v>74</v>
      </c>
      <c r="Z2" t="s">
        <v>74</v>
      </c>
      <c r="AA2" t="s">
        <v>78</v>
      </c>
      <c r="AB2" t="s">
        <v>79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80</v>
      </c>
      <c r="AP2" t="s">
        <v>81</v>
      </c>
      <c r="AQ2" t="s">
        <v>74</v>
      </c>
      <c r="AR2" t="s">
        <v>74</v>
      </c>
      <c r="AS2" t="s">
        <v>74</v>
      </c>
      <c r="AT2" t="s">
        <v>82</v>
      </c>
      <c r="AU2">
        <v>2024</v>
      </c>
      <c r="AV2">
        <v>229</v>
      </c>
      <c r="AW2" t="s">
        <v>74</v>
      </c>
      <c r="AX2" t="s">
        <v>74</v>
      </c>
      <c r="AY2" t="s">
        <v>74</v>
      </c>
      <c r="AZ2" t="s">
        <v>74</v>
      </c>
      <c r="BA2" t="s">
        <v>74</v>
      </c>
      <c r="BB2" t="s">
        <v>74</v>
      </c>
      <c r="BC2" t="s">
        <v>74</v>
      </c>
      <c r="BD2">
        <v>110987</v>
      </c>
      <c r="BE2" t="s">
        <v>83</v>
      </c>
      <c r="BF2" t="str">
        <f>HYPERLINK("http://dx.doi.org/10.1016/j.polymdegradstab.2024.110987","http://dx.doi.org/10.1016/j.polymdegradstab.2024.110987")</f>
        <v>http://dx.doi.org/10.1016/j.polymdegradstab.2024.110987</v>
      </c>
      <c r="BG2" t="s">
        <v>74</v>
      </c>
      <c r="BH2" t="s">
        <v>84</v>
      </c>
      <c r="BI2" t="s">
        <v>74</v>
      </c>
      <c r="BJ2" t="s">
        <v>74</v>
      </c>
      <c r="BK2" t="s">
        <v>74</v>
      </c>
      <c r="BL2" t="s">
        <v>74</v>
      </c>
      <c r="BM2" t="s">
        <v>74</v>
      </c>
      <c r="BN2" t="s">
        <v>74</v>
      </c>
      <c r="BO2" t="s">
        <v>74</v>
      </c>
      <c r="BP2" t="s">
        <v>74</v>
      </c>
      <c r="BQ2" t="s">
        <v>74</v>
      </c>
      <c r="BR2" t="s">
        <v>74</v>
      </c>
      <c r="BS2" t="s">
        <v>85</v>
      </c>
      <c r="BT2" t="str">
        <f>HYPERLINK("https%3A%2F%2Fwww.webofscience.com%2Fwos%2Fwoscc%2Ffull-record%2FWOS:001317495400001","View Full Record in Web of Science")</f>
        <v>View Full Record in Web of Science</v>
      </c>
    </row>
    <row r="3" spans="1:72" x14ac:dyDescent="0.15">
      <c r="A3" t="s">
        <v>72</v>
      </c>
      <c r="B3" t="s">
        <v>86</v>
      </c>
      <c r="C3" t="s">
        <v>74</v>
      </c>
      <c r="D3" t="s">
        <v>74</v>
      </c>
      <c r="E3" t="s">
        <v>74</v>
      </c>
      <c r="F3" t="s">
        <v>87</v>
      </c>
      <c r="G3" t="s">
        <v>74</v>
      </c>
      <c r="H3" t="s">
        <v>74</v>
      </c>
      <c r="I3" t="s">
        <v>88</v>
      </c>
      <c r="J3" t="s">
        <v>89</v>
      </c>
      <c r="K3" t="s">
        <v>74</v>
      </c>
      <c r="L3" t="s">
        <v>74</v>
      </c>
      <c r="M3" t="s">
        <v>74</v>
      </c>
      <c r="N3" t="s">
        <v>74</v>
      </c>
      <c r="O3" t="s">
        <v>74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 t="s">
        <v>74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90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91</v>
      </c>
      <c r="AP3" t="s">
        <v>92</v>
      </c>
      <c r="AQ3" t="s">
        <v>74</v>
      </c>
      <c r="AR3" t="s">
        <v>74</v>
      </c>
      <c r="AS3" t="s">
        <v>74</v>
      </c>
      <c r="AT3" t="s">
        <v>93</v>
      </c>
      <c r="AU3">
        <v>2024</v>
      </c>
      <c r="AV3">
        <v>989</v>
      </c>
      <c r="AW3" t="s">
        <v>74</v>
      </c>
      <c r="AX3" t="s">
        <v>74</v>
      </c>
      <c r="AY3" t="s">
        <v>74</v>
      </c>
      <c r="AZ3" t="s">
        <v>74</v>
      </c>
      <c r="BA3" t="s">
        <v>74</v>
      </c>
      <c r="BB3" t="s">
        <v>74</v>
      </c>
      <c r="BC3" t="s">
        <v>74</v>
      </c>
      <c r="BD3" t="s">
        <v>94</v>
      </c>
      <c r="BE3" t="s">
        <v>95</v>
      </c>
      <c r="BF3" t="str">
        <f>HYPERLINK("http://dx.doi.org/10.1017/jfm.2024.480","http://dx.doi.org/10.1017/jfm.2024.480")</f>
        <v>http://dx.doi.org/10.1017/jfm.2024.480</v>
      </c>
      <c r="BG3" t="s">
        <v>74</v>
      </c>
      <c r="BH3" t="s">
        <v>74</v>
      </c>
      <c r="BI3" t="s">
        <v>74</v>
      </c>
      <c r="BJ3" t="s">
        <v>74</v>
      </c>
      <c r="BK3" t="s">
        <v>74</v>
      </c>
      <c r="BL3" t="s">
        <v>74</v>
      </c>
      <c r="BM3" t="s">
        <v>74</v>
      </c>
      <c r="BN3" t="s">
        <v>74</v>
      </c>
      <c r="BO3" t="s">
        <v>74</v>
      </c>
      <c r="BP3" t="s">
        <v>74</v>
      </c>
      <c r="BQ3" t="s">
        <v>74</v>
      </c>
      <c r="BR3" t="s">
        <v>74</v>
      </c>
      <c r="BS3" t="s">
        <v>96</v>
      </c>
      <c r="BT3" t="str">
        <f>HYPERLINK("https%3A%2F%2Fwww.webofscience.com%2Fwos%2Fwoscc%2Ffull-record%2FWOS:001278750300001","View Full Record in Web of Science")</f>
        <v>View Full Record in Web of Science</v>
      </c>
    </row>
    <row r="4" spans="1:72" x14ac:dyDescent="0.15">
      <c r="A4" t="s">
        <v>72</v>
      </c>
      <c r="B4" t="s">
        <v>97</v>
      </c>
      <c r="C4" t="s">
        <v>74</v>
      </c>
      <c r="D4" t="s">
        <v>74</v>
      </c>
      <c r="E4" t="s">
        <v>74</v>
      </c>
      <c r="F4" t="s">
        <v>98</v>
      </c>
      <c r="G4" t="s">
        <v>74</v>
      </c>
      <c r="H4" t="s">
        <v>74</v>
      </c>
      <c r="I4" t="s">
        <v>99</v>
      </c>
      <c r="J4" t="s">
        <v>100</v>
      </c>
      <c r="K4" t="s">
        <v>74</v>
      </c>
      <c r="L4" t="s">
        <v>74</v>
      </c>
      <c r="M4" t="s">
        <v>74</v>
      </c>
      <c r="N4" t="s">
        <v>74</v>
      </c>
      <c r="O4" t="s">
        <v>74</v>
      </c>
      <c r="P4" t="s">
        <v>74</v>
      </c>
      <c r="Q4" t="s">
        <v>74</v>
      </c>
      <c r="R4" t="s">
        <v>74</v>
      </c>
      <c r="S4" t="s">
        <v>74</v>
      </c>
      <c r="T4" t="s">
        <v>74</v>
      </c>
      <c r="U4" t="s">
        <v>74</v>
      </c>
      <c r="V4" t="s">
        <v>74</v>
      </c>
      <c r="W4" t="s">
        <v>74</v>
      </c>
      <c r="X4" t="s">
        <v>74</v>
      </c>
      <c r="Y4" t="s">
        <v>74</v>
      </c>
      <c r="Z4" t="s">
        <v>74</v>
      </c>
      <c r="AA4" t="s">
        <v>74</v>
      </c>
      <c r="AB4" t="s">
        <v>101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102</v>
      </c>
      <c r="AP4" t="s">
        <v>103</v>
      </c>
      <c r="AQ4" t="s">
        <v>74</v>
      </c>
      <c r="AR4" t="s">
        <v>74</v>
      </c>
      <c r="AS4" t="s">
        <v>74</v>
      </c>
      <c r="AT4" t="s">
        <v>104</v>
      </c>
      <c r="AU4">
        <v>2025</v>
      </c>
      <c r="AV4">
        <v>58</v>
      </c>
      <c r="AW4">
        <v>23</v>
      </c>
      <c r="AX4" t="s">
        <v>74</v>
      </c>
      <c r="AY4" t="s">
        <v>74</v>
      </c>
      <c r="AZ4" t="s">
        <v>74</v>
      </c>
      <c r="BA4" t="s">
        <v>74</v>
      </c>
      <c r="BB4">
        <v>12693</v>
      </c>
      <c r="BC4">
        <v>12701</v>
      </c>
      <c r="BD4" t="s">
        <v>74</v>
      </c>
      <c r="BE4" t="s">
        <v>105</v>
      </c>
      <c r="BF4" t="str">
        <f>HYPERLINK("http://dx.doi.org/10.1021/acs.macromol.5c02149","http://dx.doi.org/10.1021/acs.macromol.5c02149")</f>
        <v>http://dx.doi.org/10.1021/acs.macromol.5c02149</v>
      </c>
      <c r="BG4" t="s">
        <v>74</v>
      </c>
      <c r="BH4" t="s">
        <v>106</v>
      </c>
      <c r="BI4" t="s">
        <v>74</v>
      </c>
      <c r="BJ4" t="s">
        <v>74</v>
      </c>
      <c r="BK4" t="s">
        <v>74</v>
      </c>
      <c r="BL4" t="s">
        <v>74</v>
      </c>
      <c r="BM4" t="s">
        <v>74</v>
      </c>
      <c r="BN4" t="s">
        <v>74</v>
      </c>
      <c r="BO4" t="s">
        <v>74</v>
      </c>
      <c r="BP4" t="s">
        <v>74</v>
      </c>
      <c r="BQ4" t="s">
        <v>74</v>
      </c>
      <c r="BR4" t="s">
        <v>74</v>
      </c>
      <c r="BS4" t="s">
        <v>107</v>
      </c>
      <c r="BT4" t="str">
        <f>HYPERLINK("https%3A%2F%2Fwww.webofscience.com%2Fwos%2Fwoscc%2Ffull-record%2FWOS:001618589100001","View Full Record in Web of Science")</f>
        <v>View Full Record in Web of Science</v>
      </c>
    </row>
    <row r="5" spans="1:72" x14ac:dyDescent="0.15">
      <c r="A5" t="s">
        <v>72</v>
      </c>
      <c r="B5" t="s">
        <v>108</v>
      </c>
      <c r="C5" t="s">
        <v>74</v>
      </c>
      <c r="D5" t="s">
        <v>74</v>
      </c>
      <c r="E5" t="s">
        <v>74</v>
      </c>
      <c r="F5" t="s">
        <v>109</v>
      </c>
      <c r="G5" t="s">
        <v>74</v>
      </c>
      <c r="H5" t="s">
        <v>74</v>
      </c>
      <c r="I5" t="s">
        <v>110</v>
      </c>
      <c r="J5" t="s">
        <v>111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74</v>
      </c>
      <c r="R5" t="s">
        <v>74</v>
      </c>
      <c r="S5" t="s">
        <v>74</v>
      </c>
      <c r="T5" t="s">
        <v>74</v>
      </c>
      <c r="U5" t="s">
        <v>74</v>
      </c>
      <c r="V5" t="s">
        <v>74</v>
      </c>
      <c r="W5" t="s">
        <v>74</v>
      </c>
      <c r="X5" t="s">
        <v>74</v>
      </c>
      <c r="Y5" t="s">
        <v>74</v>
      </c>
      <c r="Z5" t="s">
        <v>74</v>
      </c>
      <c r="AA5" t="s">
        <v>112</v>
      </c>
      <c r="AB5" t="s">
        <v>113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114</v>
      </c>
      <c r="AP5" t="s">
        <v>74</v>
      </c>
      <c r="AQ5" t="s">
        <v>74</v>
      </c>
      <c r="AR5" t="s">
        <v>74</v>
      </c>
      <c r="AS5" t="s">
        <v>74</v>
      </c>
      <c r="AT5" t="s">
        <v>115</v>
      </c>
      <c r="AU5">
        <v>2026</v>
      </c>
      <c r="AV5">
        <v>13</v>
      </c>
      <c r="AW5">
        <v>5</v>
      </c>
      <c r="AX5" t="s">
        <v>74</v>
      </c>
      <c r="AY5" t="s">
        <v>74</v>
      </c>
      <c r="AZ5" t="s">
        <v>74</v>
      </c>
      <c r="BA5" t="s">
        <v>74</v>
      </c>
      <c r="BB5" t="s">
        <v>74</v>
      </c>
      <c r="BC5" t="s">
        <v>74</v>
      </c>
      <c r="BD5" t="s">
        <v>74</v>
      </c>
      <c r="BE5" t="s">
        <v>116</v>
      </c>
      <c r="BF5" t="str">
        <f>HYPERLINK("http://dx.doi.org/10.1002/admi.202500944","http://dx.doi.org/10.1002/admi.202500944")</f>
        <v>http://dx.doi.org/10.1002/admi.202500944</v>
      </c>
      <c r="BG5" t="s">
        <v>74</v>
      </c>
      <c r="BH5" t="s">
        <v>117</v>
      </c>
      <c r="BI5" t="s">
        <v>74</v>
      </c>
      <c r="BJ5" t="s">
        <v>74</v>
      </c>
      <c r="BK5" t="s">
        <v>74</v>
      </c>
      <c r="BL5" t="s">
        <v>74</v>
      </c>
      <c r="BM5" t="s">
        <v>74</v>
      </c>
      <c r="BN5" t="s">
        <v>74</v>
      </c>
      <c r="BO5" t="s">
        <v>74</v>
      </c>
      <c r="BP5" t="s">
        <v>74</v>
      </c>
      <c r="BQ5" t="s">
        <v>74</v>
      </c>
      <c r="BR5" t="s">
        <v>74</v>
      </c>
      <c r="BS5" t="s">
        <v>118</v>
      </c>
      <c r="BT5" t="str">
        <f>HYPERLINK("https%3A%2F%2Fwww.webofscience.com%2Fwos%2Fwoscc%2Ffull-record%2FWOS:001694144400001","View Full Record in Web of Science")</f>
        <v>View Full Record in Web of Science</v>
      </c>
    </row>
    <row r="6" spans="1:72" x14ac:dyDescent="0.15">
      <c r="A6" t="s">
        <v>72</v>
      </c>
      <c r="B6" t="s">
        <v>119</v>
      </c>
      <c r="C6" t="s">
        <v>74</v>
      </c>
      <c r="D6" t="s">
        <v>74</v>
      </c>
      <c r="E6" t="s">
        <v>74</v>
      </c>
      <c r="F6" t="s">
        <v>120</v>
      </c>
      <c r="G6" t="s">
        <v>74</v>
      </c>
      <c r="H6" t="s">
        <v>74</v>
      </c>
      <c r="I6" t="s">
        <v>121</v>
      </c>
      <c r="J6" t="s">
        <v>100</v>
      </c>
      <c r="K6" t="s">
        <v>74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122</v>
      </c>
      <c r="AB6" t="s">
        <v>123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102</v>
      </c>
      <c r="AP6" t="s">
        <v>103</v>
      </c>
      <c r="AQ6" t="s">
        <v>74</v>
      </c>
      <c r="AR6" t="s">
        <v>74</v>
      </c>
      <c r="AS6" t="s">
        <v>74</v>
      </c>
      <c r="AT6" t="s">
        <v>124</v>
      </c>
      <c r="AU6">
        <v>2024</v>
      </c>
      <c r="AV6">
        <v>57</v>
      </c>
      <c r="AW6">
        <v>14</v>
      </c>
      <c r="AX6" t="s">
        <v>74</v>
      </c>
      <c r="AY6" t="s">
        <v>74</v>
      </c>
      <c r="AZ6" t="s">
        <v>74</v>
      </c>
      <c r="BA6" t="s">
        <v>74</v>
      </c>
      <c r="BB6">
        <v>6789</v>
      </c>
      <c r="BC6">
        <v>6795</v>
      </c>
      <c r="BD6" t="s">
        <v>74</v>
      </c>
      <c r="BE6" t="s">
        <v>125</v>
      </c>
      <c r="BF6" t="str">
        <f>HYPERLINK("http://dx.doi.org/10.1021/acs.macromol.4c00808","http://dx.doi.org/10.1021/acs.macromol.4c00808")</f>
        <v>http://dx.doi.org/10.1021/acs.macromol.4c00808</v>
      </c>
      <c r="BG6" t="s">
        <v>74</v>
      </c>
      <c r="BH6" t="s">
        <v>126</v>
      </c>
      <c r="BI6" t="s">
        <v>74</v>
      </c>
      <c r="BJ6" t="s">
        <v>74</v>
      </c>
      <c r="BK6" t="s">
        <v>74</v>
      </c>
      <c r="BL6" t="s">
        <v>74</v>
      </c>
      <c r="BM6" t="s">
        <v>74</v>
      </c>
      <c r="BN6" t="s">
        <v>74</v>
      </c>
      <c r="BO6" t="s">
        <v>74</v>
      </c>
      <c r="BP6" t="s">
        <v>74</v>
      </c>
      <c r="BQ6" t="s">
        <v>74</v>
      </c>
      <c r="BR6" t="s">
        <v>74</v>
      </c>
      <c r="BS6" t="s">
        <v>127</v>
      </c>
      <c r="BT6" t="str">
        <f>HYPERLINK("https%3A%2F%2Fwww.webofscience.com%2Fwos%2Fwoscc%2Ffull-record%2FWOS:001275267300001","View Full Record in Web of Science")</f>
        <v>View Full Record in Web of Science</v>
      </c>
    </row>
    <row r="7" spans="1:72" x14ac:dyDescent="0.15">
      <c r="A7" t="s">
        <v>72</v>
      </c>
      <c r="B7" t="s">
        <v>128</v>
      </c>
      <c r="C7" t="s">
        <v>74</v>
      </c>
      <c r="D7" t="s">
        <v>74</v>
      </c>
      <c r="E7" t="s">
        <v>74</v>
      </c>
      <c r="F7" t="s">
        <v>129</v>
      </c>
      <c r="G7" t="s">
        <v>74</v>
      </c>
      <c r="H7" t="s">
        <v>74</v>
      </c>
      <c r="I7" t="s">
        <v>130</v>
      </c>
      <c r="J7" t="s">
        <v>131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74</v>
      </c>
      <c r="Q7" t="s">
        <v>74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132</v>
      </c>
      <c r="AB7" t="s">
        <v>133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134</v>
      </c>
      <c r="AP7" t="s">
        <v>74</v>
      </c>
      <c r="AQ7" t="s">
        <v>74</v>
      </c>
      <c r="AR7" t="s">
        <v>74</v>
      </c>
      <c r="AS7" t="s">
        <v>74</v>
      </c>
      <c r="AT7" t="s">
        <v>115</v>
      </c>
      <c r="AU7">
        <v>2024</v>
      </c>
      <c r="AV7">
        <v>17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>
        <v>100231</v>
      </c>
      <c r="BE7" t="s">
        <v>135</v>
      </c>
      <c r="BF7" t="str">
        <f>HYPERLINK("http://dx.doi.org/10.1016/j.giant.2023.100231","http://dx.doi.org/10.1016/j.giant.2023.100231")</f>
        <v>http://dx.doi.org/10.1016/j.giant.2023.100231</v>
      </c>
      <c r="BG7" t="s">
        <v>74</v>
      </c>
      <c r="BH7" t="s">
        <v>136</v>
      </c>
      <c r="BI7" t="s">
        <v>74</v>
      </c>
      <c r="BJ7" t="s">
        <v>74</v>
      </c>
      <c r="BK7" t="s">
        <v>74</v>
      </c>
      <c r="BL7" t="s">
        <v>74</v>
      </c>
      <c r="BM7" t="s">
        <v>74</v>
      </c>
      <c r="BN7" t="s">
        <v>74</v>
      </c>
      <c r="BO7" t="s">
        <v>74</v>
      </c>
      <c r="BP7" t="s">
        <v>74</v>
      </c>
      <c r="BQ7" t="s">
        <v>74</v>
      </c>
      <c r="BR7" t="s">
        <v>74</v>
      </c>
      <c r="BS7" t="s">
        <v>137</v>
      </c>
      <c r="BT7" t="str">
        <f>HYPERLINK("https%3A%2F%2Fwww.webofscience.com%2Fwos%2Fwoscc%2Ffull-record%2FWOS:001155297400001","View Full Record in Web of Science")</f>
        <v>View Full Record in Web of Science</v>
      </c>
    </row>
    <row r="8" spans="1:72" x14ac:dyDescent="0.15">
      <c r="A8" t="s">
        <v>72</v>
      </c>
      <c r="B8" t="s">
        <v>138</v>
      </c>
      <c r="C8" t="s">
        <v>74</v>
      </c>
      <c r="D8" t="s">
        <v>74</v>
      </c>
      <c r="E8" t="s">
        <v>74</v>
      </c>
      <c r="F8" t="s">
        <v>139</v>
      </c>
      <c r="G8" t="s">
        <v>74</v>
      </c>
      <c r="H8" t="s">
        <v>74</v>
      </c>
      <c r="I8" t="s">
        <v>140</v>
      </c>
      <c r="J8" t="s">
        <v>100</v>
      </c>
      <c r="K8" t="s">
        <v>74</v>
      </c>
      <c r="L8" t="s">
        <v>74</v>
      </c>
      <c r="M8" t="s">
        <v>74</v>
      </c>
      <c r="N8" t="s">
        <v>74</v>
      </c>
      <c r="O8" t="s">
        <v>74</v>
      </c>
      <c r="P8" t="s">
        <v>74</v>
      </c>
      <c r="Q8" t="s">
        <v>74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141</v>
      </c>
      <c r="AB8" t="s">
        <v>142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102</v>
      </c>
      <c r="AP8" t="s">
        <v>103</v>
      </c>
      <c r="AQ8" t="s">
        <v>74</v>
      </c>
      <c r="AR8" t="s">
        <v>74</v>
      </c>
      <c r="AS8" t="s">
        <v>74</v>
      </c>
      <c r="AT8" t="s">
        <v>143</v>
      </c>
      <c r="AU8">
        <v>2025</v>
      </c>
      <c r="AV8">
        <v>58</v>
      </c>
      <c r="AW8">
        <v>18</v>
      </c>
      <c r="AX8" t="s">
        <v>74</v>
      </c>
      <c r="AY8" t="s">
        <v>74</v>
      </c>
      <c r="AZ8" t="s">
        <v>74</v>
      </c>
      <c r="BA8" t="s">
        <v>74</v>
      </c>
      <c r="BB8">
        <v>10073</v>
      </c>
      <c r="BC8">
        <v>10083</v>
      </c>
      <c r="BD8" t="s">
        <v>74</v>
      </c>
      <c r="BE8" t="s">
        <v>144</v>
      </c>
      <c r="BF8" t="str">
        <f>HYPERLINK("http://dx.doi.org/10.1021/acs.macromol.5c01830","http://dx.doi.org/10.1021/acs.macromol.5c01830")</f>
        <v>http://dx.doi.org/10.1021/acs.macromol.5c01830</v>
      </c>
      <c r="BG8" t="s">
        <v>74</v>
      </c>
      <c r="BH8" t="s">
        <v>145</v>
      </c>
      <c r="BI8" t="s">
        <v>74</v>
      </c>
      <c r="BJ8" t="s">
        <v>74</v>
      </c>
      <c r="BK8" t="s">
        <v>74</v>
      </c>
      <c r="BL8" t="s">
        <v>74</v>
      </c>
      <c r="BM8" t="s">
        <v>74</v>
      </c>
      <c r="BN8" t="s">
        <v>74</v>
      </c>
      <c r="BO8" t="s">
        <v>74</v>
      </c>
      <c r="BP8" t="s">
        <v>74</v>
      </c>
      <c r="BQ8" t="s">
        <v>74</v>
      </c>
      <c r="BR8" t="s">
        <v>74</v>
      </c>
      <c r="BS8" t="s">
        <v>146</v>
      </c>
      <c r="BT8" t="str">
        <f>HYPERLINK("https%3A%2F%2Fwww.webofscience.com%2Fwos%2Fwoscc%2Ffull-record%2FWOS:001571605100001","View Full Record in Web of Science")</f>
        <v>View Full Record in Web of Science</v>
      </c>
    </row>
    <row r="9" spans="1:72" x14ac:dyDescent="0.15">
      <c r="A9" t="s">
        <v>72</v>
      </c>
      <c r="B9" t="s">
        <v>147</v>
      </c>
      <c r="C9" t="s">
        <v>74</v>
      </c>
      <c r="D9" t="s">
        <v>74</v>
      </c>
      <c r="E9" t="s">
        <v>74</v>
      </c>
      <c r="F9" t="s">
        <v>148</v>
      </c>
      <c r="G9" t="s">
        <v>74</v>
      </c>
      <c r="H9" t="s">
        <v>74</v>
      </c>
      <c r="I9" t="s">
        <v>149</v>
      </c>
      <c r="J9" t="s">
        <v>100</v>
      </c>
      <c r="K9" t="s">
        <v>74</v>
      </c>
      <c r="L9" t="s">
        <v>74</v>
      </c>
      <c r="M9" t="s">
        <v>74</v>
      </c>
      <c r="N9" t="s">
        <v>74</v>
      </c>
      <c r="O9" t="s">
        <v>74</v>
      </c>
      <c r="P9" t="s">
        <v>74</v>
      </c>
      <c r="Q9" t="s">
        <v>74</v>
      </c>
      <c r="R9" t="s">
        <v>74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150</v>
      </c>
      <c r="AB9" t="s">
        <v>151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102</v>
      </c>
      <c r="AP9" t="s">
        <v>103</v>
      </c>
      <c r="AQ9" t="s">
        <v>74</v>
      </c>
      <c r="AR9" t="s">
        <v>74</v>
      </c>
      <c r="AS9" t="s">
        <v>74</v>
      </c>
      <c r="AT9" t="s">
        <v>152</v>
      </c>
      <c r="AU9">
        <v>2025</v>
      </c>
      <c r="AV9">
        <v>58</v>
      </c>
      <c r="AW9">
        <v>5</v>
      </c>
      <c r="AX9" t="s">
        <v>74</v>
      </c>
      <c r="AY9" t="s">
        <v>74</v>
      </c>
      <c r="AZ9" t="s">
        <v>74</v>
      </c>
      <c r="BA9" t="s">
        <v>74</v>
      </c>
      <c r="BB9">
        <v>2675</v>
      </c>
      <c r="BC9">
        <v>2682</v>
      </c>
      <c r="BD9" t="s">
        <v>74</v>
      </c>
      <c r="BE9" t="s">
        <v>153</v>
      </c>
      <c r="BF9" t="str">
        <f>HYPERLINK("http://dx.doi.org/10.1021/acs.macromol.4c02575","http://dx.doi.org/10.1021/acs.macromol.4c02575")</f>
        <v>http://dx.doi.org/10.1021/acs.macromol.4c02575</v>
      </c>
      <c r="BG9" t="s">
        <v>74</v>
      </c>
      <c r="BH9" t="s">
        <v>154</v>
      </c>
      <c r="BI9" t="s">
        <v>74</v>
      </c>
      <c r="BJ9" t="s">
        <v>74</v>
      </c>
      <c r="BK9" t="s">
        <v>74</v>
      </c>
      <c r="BL9" t="s">
        <v>74</v>
      </c>
      <c r="BM9" t="s">
        <v>74</v>
      </c>
      <c r="BN9" t="s">
        <v>74</v>
      </c>
      <c r="BO9" t="s">
        <v>74</v>
      </c>
      <c r="BP9" t="s">
        <v>74</v>
      </c>
      <c r="BQ9" t="s">
        <v>74</v>
      </c>
      <c r="BR9" t="s">
        <v>74</v>
      </c>
      <c r="BS9" t="s">
        <v>155</v>
      </c>
      <c r="BT9" t="str">
        <f>HYPERLINK("https%3A%2F%2Fwww.webofscience.com%2Fwos%2Fwoscc%2Ffull-record%2FWOS:001432835700001","View Full Record in Web of Science")</f>
        <v>View Full Record in Web of Science</v>
      </c>
    </row>
    <row r="10" spans="1:72" x14ac:dyDescent="0.15">
      <c r="A10" t="s">
        <v>72</v>
      </c>
      <c r="B10" t="s">
        <v>156</v>
      </c>
      <c r="C10" t="s">
        <v>74</v>
      </c>
      <c r="D10" t="s">
        <v>74</v>
      </c>
      <c r="E10" t="s">
        <v>74</v>
      </c>
      <c r="F10" t="s">
        <v>157</v>
      </c>
      <c r="G10" t="s">
        <v>74</v>
      </c>
      <c r="H10" t="s">
        <v>74</v>
      </c>
      <c r="I10" t="s">
        <v>158</v>
      </c>
      <c r="J10" t="s">
        <v>159</v>
      </c>
      <c r="K10" t="s">
        <v>74</v>
      </c>
      <c r="L10" t="s">
        <v>74</v>
      </c>
      <c r="M10" t="s">
        <v>74</v>
      </c>
      <c r="N10" t="s">
        <v>74</v>
      </c>
      <c r="O10" t="s">
        <v>74</v>
      </c>
      <c r="P10" t="s">
        <v>74</v>
      </c>
      <c r="Q10" t="s">
        <v>74</v>
      </c>
      <c r="R10" t="s">
        <v>74</v>
      </c>
      <c r="S10" t="s">
        <v>74</v>
      </c>
      <c r="T10" t="s">
        <v>74</v>
      </c>
      <c r="U10" t="s">
        <v>74</v>
      </c>
      <c r="V10" t="s">
        <v>74</v>
      </c>
      <c r="W10" t="s">
        <v>74</v>
      </c>
      <c r="X10" t="s">
        <v>74</v>
      </c>
      <c r="Y10" t="s">
        <v>74</v>
      </c>
      <c r="Z10" t="s">
        <v>74</v>
      </c>
      <c r="AA10" t="s">
        <v>160</v>
      </c>
      <c r="AB10" t="s">
        <v>161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162</v>
      </c>
      <c r="AQ10" t="s">
        <v>74</v>
      </c>
      <c r="AR10" t="s">
        <v>74</v>
      </c>
      <c r="AS10" t="s">
        <v>74</v>
      </c>
      <c r="AT10" t="s">
        <v>163</v>
      </c>
      <c r="AU10">
        <v>2026</v>
      </c>
      <c r="AV10">
        <v>17</v>
      </c>
      <c r="AW10">
        <v>1</v>
      </c>
      <c r="AX10" t="s">
        <v>74</v>
      </c>
      <c r="AY10" t="s">
        <v>74</v>
      </c>
      <c r="AZ10" t="s">
        <v>74</v>
      </c>
      <c r="BA10" t="s">
        <v>74</v>
      </c>
      <c r="BB10" t="s">
        <v>74</v>
      </c>
      <c r="BC10" t="s">
        <v>74</v>
      </c>
      <c r="BD10">
        <v>2250</v>
      </c>
      <c r="BE10" t="s">
        <v>164</v>
      </c>
      <c r="BF10" t="str">
        <f>HYPERLINK("http://dx.doi.org/10.1038/s41467-026-68793-7","http://dx.doi.org/10.1038/s41467-026-68793-7")</f>
        <v>http://dx.doi.org/10.1038/s41467-026-68793-7</v>
      </c>
      <c r="BG10" t="s">
        <v>74</v>
      </c>
      <c r="BH10" t="s">
        <v>74</v>
      </c>
      <c r="BI10" t="s">
        <v>74</v>
      </c>
      <c r="BJ10" t="s">
        <v>74</v>
      </c>
      <c r="BK10" t="s">
        <v>74</v>
      </c>
      <c r="BL10" t="s">
        <v>74</v>
      </c>
      <c r="BM10" t="s">
        <v>74</v>
      </c>
      <c r="BN10">
        <v>41629306</v>
      </c>
      <c r="BO10" t="s">
        <v>74</v>
      </c>
      <c r="BP10" t="s">
        <v>74</v>
      </c>
      <c r="BQ10" t="s">
        <v>74</v>
      </c>
      <c r="BR10" t="s">
        <v>74</v>
      </c>
      <c r="BS10" t="s">
        <v>165</v>
      </c>
      <c r="BT10" t="str">
        <f>HYPERLINK("https%3A%2F%2Fwww.webofscience.com%2Fwos%2Fwoscc%2Ffull-record%2FWOS:001714836900008","View Full Record in Web of Science")</f>
        <v>View Full Record in Web of Science</v>
      </c>
    </row>
    <row r="11" spans="1:72" x14ac:dyDescent="0.15">
      <c r="A11" t="s">
        <v>72</v>
      </c>
      <c r="B11" t="s">
        <v>166</v>
      </c>
      <c r="C11" t="s">
        <v>74</v>
      </c>
      <c r="D11" t="s">
        <v>74</v>
      </c>
      <c r="E11" t="s">
        <v>74</v>
      </c>
      <c r="F11" t="s">
        <v>167</v>
      </c>
      <c r="G11" t="s">
        <v>74</v>
      </c>
      <c r="H11" t="s">
        <v>74</v>
      </c>
      <c r="I11" t="s">
        <v>168</v>
      </c>
      <c r="J11" t="s">
        <v>100</v>
      </c>
      <c r="K11" t="s">
        <v>74</v>
      </c>
      <c r="L11" t="s">
        <v>74</v>
      </c>
      <c r="M11" t="s">
        <v>74</v>
      </c>
      <c r="N11" t="s">
        <v>74</v>
      </c>
      <c r="O11" t="s">
        <v>74</v>
      </c>
      <c r="P11" t="s">
        <v>74</v>
      </c>
      <c r="Q11" t="s">
        <v>74</v>
      </c>
      <c r="R11" t="s">
        <v>74</v>
      </c>
      <c r="S11" t="s">
        <v>74</v>
      </c>
      <c r="T11" t="s">
        <v>74</v>
      </c>
      <c r="U11" t="s">
        <v>74</v>
      </c>
      <c r="V11" t="s">
        <v>74</v>
      </c>
      <c r="W11" t="s">
        <v>74</v>
      </c>
      <c r="X11" t="s">
        <v>74</v>
      </c>
      <c r="Y11" t="s">
        <v>74</v>
      </c>
      <c r="Z11" t="s">
        <v>74</v>
      </c>
      <c r="AA11" t="s">
        <v>169</v>
      </c>
      <c r="AB11" t="s">
        <v>170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102</v>
      </c>
      <c r="AP11" t="s">
        <v>103</v>
      </c>
      <c r="AQ11" t="s">
        <v>74</v>
      </c>
      <c r="AR11" t="s">
        <v>74</v>
      </c>
      <c r="AS11" t="s">
        <v>74</v>
      </c>
      <c r="AT11" t="s">
        <v>171</v>
      </c>
      <c r="AU11">
        <v>2024</v>
      </c>
      <c r="AV11">
        <v>57</v>
      </c>
      <c r="AW11">
        <v>12</v>
      </c>
      <c r="AX11" t="s">
        <v>74</v>
      </c>
      <c r="AY11" t="s">
        <v>74</v>
      </c>
      <c r="AZ11" t="s">
        <v>74</v>
      </c>
      <c r="BA11" t="s">
        <v>74</v>
      </c>
      <c r="BB11">
        <v>5860</v>
      </c>
      <c r="BC11">
        <v>5869</v>
      </c>
      <c r="BD11" t="s">
        <v>74</v>
      </c>
      <c r="BE11" t="s">
        <v>172</v>
      </c>
      <c r="BF11" t="str">
        <f>HYPERLINK("http://dx.doi.org/10.1021/acs.macromol.4c00771","http://dx.doi.org/10.1021/acs.macromol.4c00771")</f>
        <v>http://dx.doi.org/10.1021/acs.macromol.4c00771</v>
      </c>
      <c r="BG11" t="s">
        <v>74</v>
      </c>
      <c r="BH11" t="s">
        <v>173</v>
      </c>
      <c r="BI11" t="s">
        <v>74</v>
      </c>
      <c r="BJ11" t="s">
        <v>74</v>
      </c>
      <c r="BK11" t="s">
        <v>74</v>
      </c>
      <c r="BL11" t="s">
        <v>74</v>
      </c>
      <c r="BM11" t="s">
        <v>74</v>
      </c>
      <c r="BN11" t="s">
        <v>74</v>
      </c>
      <c r="BO11" t="s">
        <v>74</v>
      </c>
      <c r="BP11" t="s">
        <v>74</v>
      </c>
      <c r="BQ11" t="s">
        <v>74</v>
      </c>
      <c r="BR11" t="s">
        <v>74</v>
      </c>
      <c r="BS11" t="s">
        <v>174</v>
      </c>
      <c r="BT11" t="str">
        <f>HYPERLINK("https%3A%2F%2Fwww.webofscience.com%2Fwos%2Fwoscc%2Ffull-record%2FWOS:001239418900001","View Full Record in Web of Science")</f>
        <v>View Full Record in Web of Science</v>
      </c>
    </row>
    <row r="12" spans="1:72" x14ac:dyDescent="0.15">
      <c r="A12" t="s">
        <v>72</v>
      </c>
      <c r="B12" t="s">
        <v>175</v>
      </c>
      <c r="C12" t="s">
        <v>74</v>
      </c>
      <c r="D12" t="s">
        <v>74</v>
      </c>
      <c r="E12" t="s">
        <v>74</v>
      </c>
      <c r="F12" t="s">
        <v>176</v>
      </c>
      <c r="G12" t="s">
        <v>74</v>
      </c>
      <c r="H12" t="s">
        <v>74</v>
      </c>
      <c r="I12" t="s">
        <v>177</v>
      </c>
      <c r="J12" t="s">
        <v>178</v>
      </c>
      <c r="K12" t="s">
        <v>74</v>
      </c>
      <c r="L12" t="s">
        <v>74</v>
      </c>
      <c r="M12" t="s">
        <v>74</v>
      </c>
      <c r="N12" t="s">
        <v>74</v>
      </c>
      <c r="O12" t="s">
        <v>74</v>
      </c>
      <c r="P12" t="s">
        <v>74</v>
      </c>
      <c r="Q12" t="s">
        <v>74</v>
      </c>
      <c r="R12" t="s">
        <v>74</v>
      </c>
      <c r="S12" t="s">
        <v>74</v>
      </c>
      <c r="T12" t="s">
        <v>74</v>
      </c>
      <c r="U12" t="s">
        <v>74</v>
      </c>
      <c r="V12" t="s">
        <v>74</v>
      </c>
      <c r="W12" t="s">
        <v>74</v>
      </c>
      <c r="X12" t="s">
        <v>74</v>
      </c>
      <c r="Y12" t="s">
        <v>74</v>
      </c>
      <c r="Z12" t="s">
        <v>74</v>
      </c>
      <c r="AA12" t="s">
        <v>74</v>
      </c>
      <c r="AB12" t="s">
        <v>179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180</v>
      </c>
      <c r="AP12" t="s">
        <v>181</v>
      </c>
      <c r="AQ12" t="s">
        <v>74</v>
      </c>
      <c r="AR12" t="s">
        <v>74</v>
      </c>
      <c r="AS12" t="s">
        <v>74</v>
      </c>
      <c r="AT12" t="s">
        <v>182</v>
      </c>
      <c r="AU12">
        <v>2025</v>
      </c>
      <c r="AV12">
        <v>336</v>
      </c>
      <c r="AW12" t="s">
        <v>74</v>
      </c>
      <c r="AX12" t="s">
        <v>74</v>
      </c>
      <c r="AY12" t="s">
        <v>74</v>
      </c>
      <c r="AZ12" t="s">
        <v>74</v>
      </c>
      <c r="BA12" t="s">
        <v>74</v>
      </c>
      <c r="BB12" t="s">
        <v>74</v>
      </c>
      <c r="BC12" t="s">
        <v>74</v>
      </c>
      <c r="BD12">
        <v>128860</v>
      </c>
      <c r="BE12" t="s">
        <v>183</v>
      </c>
      <c r="BF12" t="str">
        <f>HYPERLINK("http://dx.doi.org/10.1016/j.polymer.2025.128860","http://dx.doi.org/10.1016/j.polymer.2025.128860")</f>
        <v>http://dx.doi.org/10.1016/j.polymer.2025.128860</v>
      </c>
      <c r="BG12" t="s">
        <v>74</v>
      </c>
      <c r="BH12" t="s">
        <v>184</v>
      </c>
      <c r="BI12" t="s">
        <v>74</v>
      </c>
      <c r="BJ12" t="s">
        <v>74</v>
      </c>
      <c r="BK12" t="s">
        <v>74</v>
      </c>
      <c r="BL12" t="s">
        <v>74</v>
      </c>
      <c r="BM12" t="s">
        <v>74</v>
      </c>
      <c r="BN12" t="s">
        <v>74</v>
      </c>
      <c r="BO12" t="s">
        <v>74</v>
      </c>
      <c r="BP12" t="s">
        <v>74</v>
      </c>
      <c r="BQ12" t="s">
        <v>74</v>
      </c>
      <c r="BR12" t="s">
        <v>74</v>
      </c>
      <c r="BS12" t="s">
        <v>185</v>
      </c>
      <c r="BT12" t="str">
        <f>HYPERLINK("https%3A%2F%2Fwww.webofscience.com%2Fwos%2Fwoscc%2Ffull-record%2FWOS:001543740000001","View Full Record in Web of Science")</f>
        <v>View Full Record in Web of Science</v>
      </c>
    </row>
    <row r="13" spans="1:72" x14ac:dyDescent="0.15">
      <c r="A13" t="s">
        <v>72</v>
      </c>
      <c r="B13" t="s">
        <v>186</v>
      </c>
      <c r="C13" t="s">
        <v>74</v>
      </c>
      <c r="D13" t="s">
        <v>74</v>
      </c>
      <c r="E13" t="s">
        <v>74</v>
      </c>
      <c r="F13" t="s">
        <v>187</v>
      </c>
      <c r="G13" t="s">
        <v>74</v>
      </c>
      <c r="H13" t="s">
        <v>74</v>
      </c>
      <c r="I13" t="s">
        <v>188</v>
      </c>
      <c r="J13" t="s">
        <v>189</v>
      </c>
      <c r="K13" t="s">
        <v>74</v>
      </c>
      <c r="L13" t="s">
        <v>74</v>
      </c>
      <c r="M13" t="s">
        <v>74</v>
      </c>
      <c r="N13" t="s">
        <v>74</v>
      </c>
      <c r="O13" t="s">
        <v>74</v>
      </c>
      <c r="P13" t="s">
        <v>74</v>
      </c>
      <c r="Q13" t="s">
        <v>74</v>
      </c>
      <c r="R13" t="s">
        <v>74</v>
      </c>
      <c r="S13" t="s">
        <v>74</v>
      </c>
      <c r="T13" t="s">
        <v>74</v>
      </c>
      <c r="U13" t="s">
        <v>74</v>
      </c>
      <c r="V13" t="s">
        <v>74</v>
      </c>
      <c r="W13" t="s">
        <v>74</v>
      </c>
      <c r="X13" t="s">
        <v>74</v>
      </c>
      <c r="Y13" t="s">
        <v>74</v>
      </c>
      <c r="Z13" t="s">
        <v>74</v>
      </c>
      <c r="AA13" t="s">
        <v>190</v>
      </c>
      <c r="AB13" t="s">
        <v>191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192</v>
      </c>
      <c r="AP13" t="s">
        <v>74</v>
      </c>
      <c r="AQ13" t="s">
        <v>74</v>
      </c>
      <c r="AR13" t="s">
        <v>74</v>
      </c>
      <c r="AS13" t="s">
        <v>74</v>
      </c>
      <c r="AT13" t="s">
        <v>193</v>
      </c>
      <c r="AU13">
        <v>2024</v>
      </c>
      <c r="AV13">
        <v>2</v>
      </c>
      <c r="AW13">
        <v>3</v>
      </c>
      <c r="AX13" t="s">
        <v>74</v>
      </c>
      <c r="AY13" t="s">
        <v>74</v>
      </c>
      <c r="AZ13" t="s">
        <v>74</v>
      </c>
      <c r="BA13" t="s">
        <v>74</v>
      </c>
      <c r="BB13">
        <v>574</v>
      </c>
      <c r="BC13">
        <v>581</v>
      </c>
      <c r="BD13" t="s">
        <v>74</v>
      </c>
      <c r="BE13" t="s">
        <v>194</v>
      </c>
      <c r="BF13" t="str">
        <f>HYPERLINK("http://dx.doi.org/10.1021/acsaenm.3c00568","http://dx.doi.org/10.1021/acsaenm.3c00568")</f>
        <v>http://dx.doi.org/10.1021/acsaenm.3c00568</v>
      </c>
      <c r="BG13" t="s">
        <v>74</v>
      </c>
      <c r="BH13" t="s">
        <v>195</v>
      </c>
      <c r="BI13" t="s">
        <v>74</v>
      </c>
      <c r="BJ13" t="s">
        <v>74</v>
      </c>
      <c r="BK13" t="s">
        <v>74</v>
      </c>
      <c r="BL13" t="s">
        <v>74</v>
      </c>
      <c r="BM13" t="s">
        <v>74</v>
      </c>
      <c r="BN13" t="s">
        <v>74</v>
      </c>
      <c r="BO13" t="s">
        <v>74</v>
      </c>
      <c r="BP13" t="s">
        <v>74</v>
      </c>
      <c r="BQ13" t="s">
        <v>74</v>
      </c>
      <c r="BR13" t="s">
        <v>74</v>
      </c>
      <c r="BS13" t="s">
        <v>196</v>
      </c>
      <c r="BT13" t="str">
        <f>HYPERLINK("https%3A%2F%2Fwww.webofscience.com%2Fwos%2Fwoscc%2Ffull-record%2FWOS:001289335500001","View Full Record in Web of Science")</f>
        <v>View Full Record in Web of Science</v>
      </c>
    </row>
    <row r="14" spans="1:72" x14ac:dyDescent="0.15">
      <c r="A14" t="s">
        <v>72</v>
      </c>
      <c r="B14" t="s">
        <v>197</v>
      </c>
      <c r="C14" t="s">
        <v>74</v>
      </c>
      <c r="D14" t="s">
        <v>74</v>
      </c>
      <c r="E14" t="s">
        <v>74</v>
      </c>
      <c r="F14" t="s">
        <v>198</v>
      </c>
      <c r="G14" t="s">
        <v>74</v>
      </c>
      <c r="H14" t="s">
        <v>74</v>
      </c>
      <c r="I14" t="s">
        <v>199</v>
      </c>
      <c r="J14" t="s">
        <v>200</v>
      </c>
      <c r="K14" t="s">
        <v>74</v>
      </c>
      <c r="L14" t="s">
        <v>74</v>
      </c>
      <c r="M14" t="s">
        <v>74</v>
      </c>
      <c r="N14" t="s">
        <v>74</v>
      </c>
      <c r="O14" t="s">
        <v>74</v>
      </c>
      <c r="P14" t="s">
        <v>74</v>
      </c>
      <c r="Q14" t="s">
        <v>74</v>
      </c>
      <c r="R14" t="s">
        <v>74</v>
      </c>
      <c r="S14" t="s">
        <v>74</v>
      </c>
      <c r="T14" t="s">
        <v>74</v>
      </c>
      <c r="U14" t="s">
        <v>74</v>
      </c>
      <c r="V14" t="s">
        <v>74</v>
      </c>
      <c r="W14" t="s">
        <v>74</v>
      </c>
      <c r="X14" t="s">
        <v>74</v>
      </c>
      <c r="Y14" t="s">
        <v>74</v>
      </c>
      <c r="Z14" t="s">
        <v>74</v>
      </c>
      <c r="AA14" t="s">
        <v>201</v>
      </c>
      <c r="AB14" t="s">
        <v>202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203</v>
      </c>
      <c r="AP14" t="s">
        <v>204</v>
      </c>
      <c r="AQ14" t="s">
        <v>74</v>
      </c>
      <c r="AR14" t="s">
        <v>74</v>
      </c>
      <c r="AS14" t="s">
        <v>74</v>
      </c>
      <c r="AT14" t="s">
        <v>205</v>
      </c>
      <c r="AU14">
        <v>2025</v>
      </c>
      <c r="AV14">
        <v>46</v>
      </c>
      <c r="AW14">
        <v>9</v>
      </c>
      <c r="AX14" t="s">
        <v>74</v>
      </c>
      <c r="AY14" t="s">
        <v>74</v>
      </c>
      <c r="AZ14" t="s">
        <v>74</v>
      </c>
      <c r="BA14" t="s">
        <v>74</v>
      </c>
      <c r="BB14">
        <v>1545</v>
      </c>
      <c r="BC14">
        <v>1548</v>
      </c>
      <c r="BD14" t="s">
        <v>74</v>
      </c>
      <c r="BE14" t="s">
        <v>206</v>
      </c>
      <c r="BF14" t="str">
        <f>HYPERLINK("http://dx.doi.org/10.1109/LED.2025.3587950","http://dx.doi.org/10.1109/LED.2025.3587950")</f>
        <v>http://dx.doi.org/10.1109/LED.2025.3587950</v>
      </c>
      <c r="BG14" t="s">
        <v>74</v>
      </c>
      <c r="BH14" t="s">
        <v>74</v>
      </c>
      <c r="BI14" t="s">
        <v>74</v>
      </c>
      <c r="BJ14" t="s">
        <v>74</v>
      </c>
      <c r="BK14" t="s">
        <v>74</v>
      </c>
      <c r="BL14" t="s">
        <v>74</v>
      </c>
      <c r="BM14" t="s">
        <v>74</v>
      </c>
      <c r="BN14" t="s">
        <v>74</v>
      </c>
      <c r="BO14" t="s">
        <v>74</v>
      </c>
      <c r="BP14" t="s">
        <v>74</v>
      </c>
      <c r="BQ14" t="s">
        <v>74</v>
      </c>
      <c r="BR14" t="s">
        <v>74</v>
      </c>
      <c r="BS14" t="s">
        <v>207</v>
      </c>
      <c r="BT14" t="str">
        <f>HYPERLINK("https%3A%2F%2Fwww.webofscience.com%2Fwos%2Fwoscc%2Ffull-record%2FWOS:001565172600018","View Full Record in Web of Science")</f>
        <v>View Full Record in Web of Science</v>
      </c>
    </row>
    <row r="15" spans="1:72" x14ac:dyDescent="0.15">
      <c r="A15" t="s">
        <v>72</v>
      </c>
      <c r="B15" t="s">
        <v>208</v>
      </c>
      <c r="C15" t="s">
        <v>74</v>
      </c>
      <c r="D15" t="s">
        <v>74</v>
      </c>
      <c r="E15" t="s">
        <v>74</v>
      </c>
      <c r="F15" t="s">
        <v>209</v>
      </c>
      <c r="G15" t="s">
        <v>74</v>
      </c>
      <c r="H15" t="s">
        <v>74</v>
      </c>
      <c r="I15" t="s">
        <v>210</v>
      </c>
      <c r="J15" t="s">
        <v>211</v>
      </c>
      <c r="K15" t="s">
        <v>74</v>
      </c>
      <c r="L15" t="s">
        <v>74</v>
      </c>
      <c r="M15" t="s">
        <v>74</v>
      </c>
      <c r="N15" t="s">
        <v>74</v>
      </c>
      <c r="O15" t="s">
        <v>74</v>
      </c>
      <c r="P15" t="s">
        <v>74</v>
      </c>
      <c r="Q15" t="s">
        <v>74</v>
      </c>
      <c r="R15" t="s">
        <v>74</v>
      </c>
      <c r="S15" t="s">
        <v>74</v>
      </c>
      <c r="T15" t="s">
        <v>74</v>
      </c>
      <c r="U15" t="s">
        <v>74</v>
      </c>
      <c r="V15" t="s">
        <v>74</v>
      </c>
      <c r="W15" t="s">
        <v>74</v>
      </c>
      <c r="X15" t="s">
        <v>74</v>
      </c>
      <c r="Y15" t="s">
        <v>74</v>
      </c>
      <c r="Z15" t="s">
        <v>74</v>
      </c>
      <c r="AA15" t="s">
        <v>212</v>
      </c>
      <c r="AB15" t="s">
        <v>213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214</v>
      </c>
      <c r="AP15" t="s">
        <v>215</v>
      </c>
      <c r="AQ15" t="s">
        <v>74</v>
      </c>
      <c r="AR15" t="s">
        <v>74</v>
      </c>
      <c r="AS15" t="s">
        <v>74</v>
      </c>
      <c r="AT15" t="s">
        <v>216</v>
      </c>
      <c r="AU15">
        <v>2025</v>
      </c>
      <c r="AV15">
        <v>306</v>
      </c>
      <c r="AW15" t="s">
        <v>74</v>
      </c>
      <c r="AX15">
        <v>1</v>
      </c>
      <c r="AY15" t="s">
        <v>74</v>
      </c>
      <c r="AZ15" t="s">
        <v>74</v>
      </c>
      <c r="BA15" t="s">
        <v>74</v>
      </c>
      <c r="BB15" t="s">
        <v>74</v>
      </c>
      <c r="BC15" t="s">
        <v>74</v>
      </c>
      <c r="BD15">
        <v>141406</v>
      </c>
      <c r="BE15" t="s">
        <v>217</v>
      </c>
      <c r="BF15" t="str">
        <f>HYPERLINK("http://dx.doi.org/10.1016/j.ijbiomac.2025.141406","http://dx.doi.org/10.1016/j.ijbiomac.2025.141406")</f>
        <v>http://dx.doi.org/10.1016/j.ijbiomac.2025.141406</v>
      </c>
      <c r="BG15" t="s">
        <v>74</v>
      </c>
      <c r="BH15" t="s">
        <v>218</v>
      </c>
      <c r="BI15" t="s">
        <v>74</v>
      </c>
      <c r="BJ15" t="s">
        <v>74</v>
      </c>
      <c r="BK15" t="s">
        <v>74</v>
      </c>
      <c r="BL15" t="s">
        <v>74</v>
      </c>
      <c r="BM15" t="s">
        <v>74</v>
      </c>
      <c r="BN15">
        <v>39993677</v>
      </c>
      <c r="BO15" t="s">
        <v>74</v>
      </c>
      <c r="BP15" t="s">
        <v>74</v>
      </c>
      <c r="BQ15" t="s">
        <v>74</v>
      </c>
      <c r="BR15" t="s">
        <v>74</v>
      </c>
      <c r="BS15" t="s">
        <v>219</v>
      </c>
      <c r="BT15" t="str">
        <f>HYPERLINK("https%3A%2F%2Fwww.webofscience.com%2Fwos%2Fwoscc%2Ffull-record%2FWOS:001439337400001","View Full Record in Web of Science")</f>
        <v>View Full Record in Web of Science</v>
      </c>
    </row>
    <row r="16" spans="1:72" x14ac:dyDescent="0.15">
      <c r="A16" t="s">
        <v>72</v>
      </c>
      <c r="B16" t="s">
        <v>220</v>
      </c>
      <c r="C16" t="s">
        <v>74</v>
      </c>
      <c r="D16" t="s">
        <v>74</v>
      </c>
      <c r="E16" t="s">
        <v>74</v>
      </c>
      <c r="F16" t="s">
        <v>221</v>
      </c>
      <c r="G16" t="s">
        <v>74</v>
      </c>
      <c r="H16" t="s">
        <v>74</v>
      </c>
      <c r="I16" t="s">
        <v>222</v>
      </c>
      <c r="J16" t="s">
        <v>223</v>
      </c>
      <c r="K16" t="s">
        <v>74</v>
      </c>
      <c r="L16" t="s">
        <v>74</v>
      </c>
      <c r="M16" t="s">
        <v>74</v>
      </c>
      <c r="N16" t="s">
        <v>74</v>
      </c>
      <c r="O16" t="s">
        <v>74</v>
      </c>
      <c r="P16" t="s">
        <v>74</v>
      </c>
      <c r="Q16" t="s">
        <v>74</v>
      </c>
      <c r="R16" t="s">
        <v>74</v>
      </c>
      <c r="S16" t="s">
        <v>74</v>
      </c>
      <c r="T16" t="s">
        <v>74</v>
      </c>
      <c r="U16" t="s">
        <v>74</v>
      </c>
      <c r="V16" t="s">
        <v>74</v>
      </c>
      <c r="W16" t="s">
        <v>74</v>
      </c>
      <c r="X16" t="s">
        <v>74</v>
      </c>
      <c r="Y16" t="s">
        <v>74</v>
      </c>
      <c r="Z16" t="s">
        <v>74</v>
      </c>
      <c r="AA16" t="s">
        <v>74</v>
      </c>
      <c r="AB16" t="s">
        <v>224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225</v>
      </c>
      <c r="AP16" t="s">
        <v>226</v>
      </c>
      <c r="AQ16" t="s">
        <v>74</v>
      </c>
      <c r="AR16" t="s">
        <v>74</v>
      </c>
      <c r="AS16" t="s">
        <v>74</v>
      </c>
      <c r="AT16" t="s">
        <v>227</v>
      </c>
      <c r="AU16">
        <v>2025</v>
      </c>
      <c r="AV16">
        <v>17</v>
      </c>
      <c r="AW16">
        <v>31</v>
      </c>
      <c r="AX16" t="s">
        <v>74</v>
      </c>
      <c r="AY16" t="s">
        <v>74</v>
      </c>
      <c r="AZ16" t="s">
        <v>74</v>
      </c>
      <c r="BA16" t="s">
        <v>74</v>
      </c>
      <c r="BB16">
        <v>45130</v>
      </c>
      <c r="BC16">
        <v>45138</v>
      </c>
      <c r="BD16" t="s">
        <v>74</v>
      </c>
      <c r="BE16" t="s">
        <v>228</v>
      </c>
      <c r="BF16" t="str">
        <f>HYPERLINK("http://dx.doi.org/10.1021/acsami.5c08301","http://dx.doi.org/10.1021/acsami.5c08301")</f>
        <v>http://dx.doi.org/10.1021/acsami.5c08301</v>
      </c>
      <c r="BG16" t="s">
        <v>74</v>
      </c>
      <c r="BH16" t="s">
        <v>184</v>
      </c>
      <c r="BI16" t="s">
        <v>74</v>
      </c>
      <c r="BJ16" t="s">
        <v>74</v>
      </c>
      <c r="BK16" t="s">
        <v>74</v>
      </c>
      <c r="BL16" t="s">
        <v>74</v>
      </c>
      <c r="BM16" t="s">
        <v>74</v>
      </c>
      <c r="BN16">
        <v>40728161</v>
      </c>
      <c r="BO16" t="s">
        <v>74</v>
      </c>
      <c r="BP16" t="s">
        <v>74</v>
      </c>
      <c r="BQ16" t="s">
        <v>74</v>
      </c>
      <c r="BR16" t="s">
        <v>74</v>
      </c>
      <c r="BS16" t="s">
        <v>229</v>
      </c>
      <c r="BT16" t="str">
        <f>HYPERLINK("https%3A%2F%2Fwww.webofscience.com%2Fwos%2Fwoscc%2Ffull-record%2FWOS:001539126600001","View Full Record in Web of Science")</f>
        <v>View Full Record in Web of Science</v>
      </c>
    </row>
    <row r="17" spans="1:72" x14ac:dyDescent="0.15">
      <c r="A17" t="s">
        <v>72</v>
      </c>
      <c r="B17" t="s">
        <v>230</v>
      </c>
      <c r="C17" t="s">
        <v>74</v>
      </c>
      <c r="D17" t="s">
        <v>74</v>
      </c>
      <c r="E17" t="s">
        <v>74</v>
      </c>
      <c r="F17" t="s">
        <v>231</v>
      </c>
      <c r="G17" t="s">
        <v>74</v>
      </c>
      <c r="H17" t="s">
        <v>74</v>
      </c>
      <c r="I17" t="s">
        <v>232</v>
      </c>
      <c r="J17" t="s">
        <v>233</v>
      </c>
      <c r="K17" t="s">
        <v>74</v>
      </c>
      <c r="L17" t="s">
        <v>74</v>
      </c>
      <c r="M17" t="s">
        <v>74</v>
      </c>
      <c r="N17" t="s">
        <v>74</v>
      </c>
      <c r="O17" t="s">
        <v>74</v>
      </c>
      <c r="P17" t="s">
        <v>74</v>
      </c>
      <c r="Q17" t="s">
        <v>74</v>
      </c>
      <c r="R17" t="s">
        <v>74</v>
      </c>
      <c r="S17" t="s">
        <v>74</v>
      </c>
      <c r="T17" t="s">
        <v>74</v>
      </c>
      <c r="U17" t="s">
        <v>74</v>
      </c>
      <c r="V17" t="s">
        <v>74</v>
      </c>
      <c r="W17" t="s">
        <v>74</v>
      </c>
      <c r="X17" t="s">
        <v>74</v>
      </c>
      <c r="Y17" t="s">
        <v>74</v>
      </c>
      <c r="Z17" t="s">
        <v>74</v>
      </c>
      <c r="AA17" t="s">
        <v>234</v>
      </c>
      <c r="AB17" t="s">
        <v>235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236</v>
      </c>
      <c r="AP17" t="s">
        <v>237</v>
      </c>
      <c r="AQ17" t="s">
        <v>74</v>
      </c>
      <c r="AR17" t="s">
        <v>74</v>
      </c>
      <c r="AS17" t="s">
        <v>74</v>
      </c>
      <c r="AT17" t="s">
        <v>238</v>
      </c>
      <c r="AU17">
        <v>2024</v>
      </c>
      <c r="AV17">
        <v>121</v>
      </c>
      <c r="AW17">
        <v>39</v>
      </c>
      <c r="AX17" t="s">
        <v>74</v>
      </c>
      <c r="AY17" t="s">
        <v>74</v>
      </c>
      <c r="AZ17" t="s">
        <v>74</v>
      </c>
      <c r="BA17" t="s">
        <v>74</v>
      </c>
      <c r="BB17" t="s">
        <v>74</v>
      </c>
      <c r="BC17" t="s">
        <v>74</v>
      </c>
      <c r="BD17" t="s">
        <v>239</v>
      </c>
      <c r="BE17" t="s">
        <v>240</v>
      </c>
      <c r="BF17" t="str">
        <f>HYPERLINK("http://dx.doi.org/10.1073/pnas.2407914121","http://dx.doi.org/10.1073/pnas.2407914121")</f>
        <v>http://dx.doi.org/10.1073/pnas.2407914121</v>
      </c>
      <c r="BG17" t="s">
        <v>74</v>
      </c>
      <c r="BH17" t="s">
        <v>74</v>
      </c>
      <c r="BI17" t="s">
        <v>74</v>
      </c>
      <c r="BJ17" t="s">
        <v>74</v>
      </c>
      <c r="BK17" t="s">
        <v>74</v>
      </c>
      <c r="BL17" t="s">
        <v>74</v>
      </c>
      <c r="BM17" t="s">
        <v>74</v>
      </c>
      <c r="BN17">
        <v>39269770</v>
      </c>
      <c r="BO17" t="s">
        <v>74</v>
      </c>
      <c r="BP17" t="s">
        <v>74</v>
      </c>
      <c r="BQ17" t="s">
        <v>74</v>
      </c>
      <c r="BR17" t="s">
        <v>74</v>
      </c>
      <c r="BS17" t="s">
        <v>241</v>
      </c>
      <c r="BT17" t="str">
        <f>HYPERLINK("https%3A%2F%2Fwww.webofscience.com%2Fwos%2Fwoscc%2Ffull-record%2FWOS:001369554000010","View Full Record in Web of Science")</f>
        <v>View Full Record in Web of Science</v>
      </c>
    </row>
    <row r="18" spans="1:72" x14ac:dyDescent="0.15">
      <c r="A18" t="s">
        <v>72</v>
      </c>
      <c r="B18" t="s">
        <v>242</v>
      </c>
      <c r="C18" t="s">
        <v>74</v>
      </c>
      <c r="D18" t="s">
        <v>74</v>
      </c>
      <c r="E18" t="s">
        <v>74</v>
      </c>
      <c r="F18" t="s">
        <v>243</v>
      </c>
      <c r="G18" t="s">
        <v>74</v>
      </c>
      <c r="H18" t="s">
        <v>74</v>
      </c>
      <c r="I18" t="s">
        <v>244</v>
      </c>
      <c r="J18" t="s">
        <v>245</v>
      </c>
      <c r="K18" t="s">
        <v>74</v>
      </c>
      <c r="L18" t="s">
        <v>74</v>
      </c>
      <c r="M18" t="s">
        <v>74</v>
      </c>
      <c r="N18" t="s">
        <v>74</v>
      </c>
      <c r="O18" t="s">
        <v>74</v>
      </c>
      <c r="P18" t="s">
        <v>74</v>
      </c>
      <c r="Q18" t="s">
        <v>74</v>
      </c>
      <c r="R18" t="s">
        <v>74</v>
      </c>
      <c r="S18" t="s">
        <v>74</v>
      </c>
      <c r="T18" t="s">
        <v>74</v>
      </c>
      <c r="U18" t="s">
        <v>74</v>
      </c>
      <c r="V18" t="s">
        <v>74</v>
      </c>
      <c r="W18" t="s">
        <v>74</v>
      </c>
      <c r="X18" t="s">
        <v>74</v>
      </c>
      <c r="Y18" t="s">
        <v>74</v>
      </c>
      <c r="Z18" t="s">
        <v>74</v>
      </c>
      <c r="AA18" t="s">
        <v>246</v>
      </c>
      <c r="AB18" t="s">
        <v>247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248</v>
      </c>
      <c r="AP18" t="s">
        <v>249</v>
      </c>
      <c r="AQ18" t="s">
        <v>74</v>
      </c>
      <c r="AR18" t="s">
        <v>74</v>
      </c>
      <c r="AS18" t="s">
        <v>74</v>
      </c>
      <c r="AT18" t="s">
        <v>250</v>
      </c>
      <c r="AU18">
        <v>2024</v>
      </c>
      <c r="AV18">
        <v>20</v>
      </c>
      <c r="AW18">
        <v>45</v>
      </c>
      <c r="AX18" t="s">
        <v>74</v>
      </c>
      <c r="AY18" t="s">
        <v>74</v>
      </c>
      <c r="AZ18" t="s">
        <v>74</v>
      </c>
      <c r="BA18" t="s">
        <v>74</v>
      </c>
      <c r="BB18">
        <v>9050</v>
      </c>
      <c r="BC18">
        <v>9059</v>
      </c>
      <c r="BD18" t="s">
        <v>74</v>
      </c>
      <c r="BE18" t="s">
        <v>251</v>
      </c>
      <c r="BF18" t="str">
        <f>HYPERLINK("http://dx.doi.org/10.1039/d4sm01076k","http://dx.doi.org/10.1039/d4sm01076k")</f>
        <v>http://dx.doi.org/10.1039/d4sm01076k</v>
      </c>
      <c r="BG18" t="s">
        <v>74</v>
      </c>
      <c r="BH18" t="s">
        <v>252</v>
      </c>
      <c r="BI18" t="s">
        <v>74</v>
      </c>
      <c r="BJ18" t="s">
        <v>74</v>
      </c>
      <c r="BK18" t="s">
        <v>74</v>
      </c>
      <c r="BL18" t="s">
        <v>74</v>
      </c>
      <c r="BM18" t="s">
        <v>74</v>
      </c>
      <c r="BN18">
        <v>39499572</v>
      </c>
      <c r="BO18" t="s">
        <v>74</v>
      </c>
      <c r="BP18" t="s">
        <v>74</v>
      </c>
      <c r="BQ18" t="s">
        <v>74</v>
      </c>
      <c r="BR18" t="s">
        <v>74</v>
      </c>
      <c r="BS18" t="s">
        <v>253</v>
      </c>
      <c r="BT18" t="str">
        <f>HYPERLINK("https%3A%2F%2Fwww.webofscience.com%2Fwos%2Fwoscc%2Ffull-record%2FWOS:001347639300001","View Full Record in Web of Science")</f>
        <v>View Full Record in Web of Science</v>
      </c>
    </row>
    <row r="19" spans="1:72" x14ac:dyDescent="0.15">
      <c r="A19" t="s">
        <v>72</v>
      </c>
      <c r="B19" t="s">
        <v>254</v>
      </c>
      <c r="C19" t="s">
        <v>74</v>
      </c>
      <c r="D19" t="s">
        <v>74</v>
      </c>
      <c r="E19" t="s">
        <v>74</v>
      </c>
      <c r="F19" t="s">
        <v>255</v>
      </c>
      <c r="G19" t="s">
        <v>74</v>
      </c>
      <c r="H19" t="s">
        <v>74</v>
      </c>
      <c r="I19" t="s">
        <v>256</v>
      </c>
      <c r="J19" t="s">
        <v>257</v>
      </c>
      <c r="K19" t="s">
        <v>74</v>
      </c>
      <c r="L19" t="s">
        <v>74</v>
      </c>
      <c r="M19" t="s">
        <v>74</v>
      </c>
      <c r="N19" t="s">
        <v>74</v>
      </c>
      <c r="O19" t="s">
        <v>74</v>
      </c>
      <c r="P19" t="s">
        <v>74</v>
      </c>
      <c r="Q19" t="s">
        <v>74</v>
      </c>
      <c r="R19" t="s">
        <v>74</v>
      </c>
      <c r="S19" t="s">
        <v>74</v>
      </c>
      <c r="T19" t="s">
        <v>74</v>
      </c>
      <c r="U19" t="s">
        <v>74</v>
      </c>
      <c r="V19" t="s">
        <v>74</v>
      </c>
      <c r="W19" t="s">
        <v>74</v>
      </c>
      <c r="X19" t="s">
        <v>74</v>
      </c>
      <c r="Y19" t="s">
        <v>74</v>
      </c>
      <c r="Z19" t="s">
        <v>74</v>
      </c>
      <c r="AA19" t="s">
        <v>258</v>
      </c>
      <c r="AB19" t="s">
        <v>259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260</v>
      </c>
      <c r="AQ19" t="s">
        <v>74</v>
      </c>
      <c r="AR19" t="s">
        <v>74</v>
      </c>
      <c r="AS19" t="s">
        <v>74</v>
      </c>
      <c r="AT19" t="s">
        <v>261</v>
      </c>
      <c r="AU19">
        <v>2025</v>
      </c>
      <c r="AV19">
        <v>4</v>
      </c>
      <c r="AW19">
        <v>2</v>
      </c>
      <c r="AX19" t="s">
        <v>74</v>
      </c>
      <c r="AY19" t="s">
        <v>74</v>
      </c>
      <c r="AZ19" t="s">
        <v>74</v>
      </c>
      <c r="BA19" t="s">
        <v>74</v>
      </c>
      <c r="BB19" t="s">
        <v>74</v>
      </c>
      <c r="BC19" t="s">
        <v>74</v>
      </c>
      <c r="BD19" t="s">
        <v>262</v>
      </c>
      <c r="BE19" t="s">
        <v>263</v>
      </c>
      <c r="BF19" t="str">
        <f>HYPERLINK("http://dx.doi.org/10.1093/pnasnexus/pgaf023","http://dx.doi.org/10.1093/pnasnexus/pgaf023")</f>
        <v>http://dx.doi.org/10.1093/pnasnexus/pgaf023</v>
      </c>
      <c r="BG19" t="s">
        <v>74</v>
      </c>
      <c r="BH19" t="s">
        <v>74</v>
      </c>
      <c r="BI19" t="s">
        <v>74</v>
      </c>
      <c r="BJ19" t="s">
        <v>74</v>
      </c>
      <c r="BK19" t="s">
        <v>74</v>
      </c>
      <c r="BL19" t="s">
        <v>74</v>
      </c>
      <c r="BM19" t="s">
        <v>74</v>
      </c>
      <c r="BN19">
        <v>39925855</v>
      </c>
      <c r="BO19" t="s">
        <v>74</v>
      </c>
      <c r="BP19" t="s">
        <v>74</v>
      </c>
      <c r="BQ19" t="s">
        <v>74</v>
      </c>
      <c r="BR19" t="s">
        <v>74</v>
      </c>
      <c r="BS19" t="s">
        <v>264</v>
      </c>
      <c r="BT19" t="str">
        <f>HYPERLINK("https%3A%2F%2Fwww.webofscience.com%2Fwos%2Fwoscc%2Ffull-record%2FWOS:001415072600001","View Full Record in Web of Science")</f>
        <v>View Full Record in Web of Science</v>
      </c>
    </row>
    <row r="20" spans="1:72" x14ac:dyDescent="0.15">
      <c r="A20" t="s">
        <v>72</v>
      </c>
      <c r="B20" t="s">
        <v>265</v>
      </c>
      <c r="C20" t="s">
        <v>74</v>
      </c>
      <c r="D20" t="s">
        <v>74</v>
      </c>
      <c r="E20" t="s">
        <v>74</v>
      </c>
      <c r="F20" t="s">
        <v>266</v>
      </c>
      <c r="G20" t="s">
        <v>74</v>
      </c>
      <c r="H20" t="s">
        <v>74</v>
      </c>
      <c r="I20" t="s">
        <v>267</v>
      </c>
      <c r="J20" t="s">
        <v>268</v>
      </c>
      <c r="K20" t="s">
        <v>74</v>
      </c>
      <c r="L20" t="s">
        <v>74</v>
      </c>
      <c r="M20" t="s">
        <v>74</v>
      </c>
      <c r="N20" t="s">
        <v>74</v>
      </c>
      <c r="O20" t="s">
        <v>74</v>
      </c>
      <c r="P20" t="s">
        <v>74</v>
      </c>
      <c r="Q20" t="s">
        <v>74</v>
      </c>
      <c r="R20" t="s">
        <v>74</v>
      </c>
      <c r="S20" t="s">
        <v>74</v>
      </c>
      <c r="T20" t="s">
        <v>74</v>
      </c>
      <c r="U20" t="s">
        <v>74</v>
      </c>
      <c r="V20" t="s">
        <v>74</v>
      </c>
      <c r="W20" t="s">
        <v>74</v>
      </c>
      <c r="X20" t="s">
        <v>74</v>
      </c>
      <c r="Y20" t="s">
        <v>74</v>
      </c>
      <c r="Z20" t="s">
        <v>74</v>
      </c>
      <c r="AA20" t="s">
        <v>269</v>
      </c>
      <c r="AB20" t="s">
        <v>270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271</v>
      </c>
      <c r="AQ20" t="s">
        <v>74</v>
      </c>
      <c r="AR20" t="s">
        <v>74</v>
      </c>
      <c r="AS20" t="s">
        <v>74</v>
      </c>
      <c r="AT20" t="s">
        <v>272</v>
      </c>
      <c r="AU20">
        <v>2024</v>
      </c>
      <c r="AV20">
        <v>6</v>
      </c>
      <c r="AW20">
        <v>12</v>
      </c>
      <c r="AX20" t="s">
        <v>74</v>
      </c>
      <c r="AY20" t="s">
        <v>74</v>
      </c>
      <c r="AZ20" t="s">
        <v>74</v>
      </c>
      <c r="BA20" t="s">
        <v>74</v>
      </c>
      <c r="BB20" t="s">
        <v>74</v>
      </c>
      <c r="BC20" t="s">
        <v>74</v>
      </c>
      <c r="BD20" t="s">
        <v>74</v>
      </c>
      <c r="BE20" t="s">
        <v>273</v>
      </c>
      <c r="BF20" t="str">
        <f>HYPERLINK("http://dx.doi.org/10.1002/eom2.12504","http://dx.doi.org/10.1002/eom2.12504")</f>
        <v>http://dx.doi.org/10.1002/eom2.12504</v>
      </c>
      <c r="BG20" t="s">
        <v>74</v>
      </c>
      <c r="BH20" t="s">
        <v>274</v>
      </c>
      <c r="BI20" t="s">
        <v>74</v>
      </c>
      <c r="BJ20" t="s">
        <v>74</v>
      </c>
      <c r="BK20" t="s">
        <v>74</v>
      </c>
      <c r="BL20" t="s">
        <v>74</v>
      </c>
      <c r="BM20" t="s">
        <v>74</v>
      </c>
      <c r="BN20" t="s">
        <v>74</v>
      </c>
      <c r="BO20" t="s">
        <v>74</v>
      </c>
      <c r="BP20" t="s">
        <v>74</v>
      </c>
      <c r="BQ20" t="s">
        <v>74</v>
      </c>
      <c r="BR20" t="s">
        <v>74</v>
      </c>
      <c r="BS20" t="s">
        <v>275</v>
      </c>
      <c r="BT20" t="str">
        <f>HYPERLINK("https%3A%2F%2Fwww.webofscience.com%2Fwos%2Fwoscc%2Ffull-record%2FWOS:001357301900001","View Full Record in Web of Science")</f>
        <v>View Full Record in Web of Science</v>
      </c>
    </row>
    <row r="21" spans="1:72" x14ac:dyDescent="0.15">
      <c r="A21" t="s">
        <v>72</v>
      </c>
      <c r="B21" t="s">
        <v>276</v>
      </c>
      <c r="C21" t="s">
        <v>74</v>
      </c>
      <c r="D21" t="s">
        <v>74</v>
      </c>
      <c r="E21" t="s">
        <v>74</v>
      </c>
      <c r="F21" t="s">
        <v>277</v>
      </c>
      <c r="G21" t="s">
        <v>74</v>
      </c>
      <c r="H21" t="s">
        <v>74</v>
      </c>
      <c r="I21" t="s">
        <v>278</v>
      </c>
      <c r="J21" t="s">
        <v>279</v>
      </c>
      <c r="K21" t="s">
        <v>74</v>
      </c>
      <c r="L21" t="s">
        <v>74</v>
      </c>
      <c r="M21" t="s">
        <v>74</v>
      </c>
      <c r="N21" t="s">
        <v>74</v>
      </c>
      <c r="O21" t="s">
        <v>74</v>
      </c>
      <c r="P21" t="s">
        <v>74</v>
      </c>
      <c r="Q21" t="s">
        <v>74</v>
      </c>
      <c r="R21" t="s">
        <v>74</v>
      </c>
      <c r="S21" t="s">
        <v>74</v>
      </c>
      <c r="T21" t="s">
        <v>74</v>
      </c>
      <c r="U21" t="s">
        <v>74</v>
      </c>
      <c r="V21" t="s">
        <v>74</v>
      </c>
      <c r="W21" t="s">
        <v>74</v>
      </c>
      <c r="X21" t="s">
        <v>74</v>
      </c>
      <c r="Y21" t="s">
        <v>74</v>
      </c>
      <c r="Z21" t="s">
        <v>74</v>
      </c>
      <c r="AA21" t="s">
        <v>280</v>
      </c>
      <c r="AB21" t="s">
        <v>281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282</v>
      </c>
      <c r="AP21" t="s">
        <v>283</v>
      </c>
      <c r="AQ21" t="s">
        <v>74</v>
      </c>
      <c r="AR21" t="s">
        <v>74</v>
      </c>
      <c r="AS21" t="s">
        <v>74</v>
      </c>
      <c r="AT21" t="s">
        <v>284</v>
      </c>
      <c r="AU21">
        <v>2024</v>
      </c>
      <c r="AV21">
        <v>36</v>
      </c>
      <c r="AW21">
        <v>23</v>
      </c>
      <c r="AX21" t="s">
        <v>74</v>
      </c>
      <c r="AY21" t="s">
        <v>74</v>
      </c>
      <c r="AZ21" t="s">
        <v>74</v>
      </c>
      <c r="BA21" t="s">
        <v>74</v>
      </c>
      <c r="BB21">
        <v>11440</v>
      </c>
      <c r="BC21">
        <v>11448</v>
      </c>
      <c r="BD21" t="s">
        <v>74</v>
      </c>
      <c r="BE21" t="s">
        <v>285</v>
      </c>
      <c r="BF21" t="str">
        <f>HYPERLINK("http://dx.doi.org/10.1021/acs.chemmater.4c02082","http://dx.doi.org/10.1021/acs.chemmater.4c02082")</f>
        <v>http://dx.doi.org/10.1021/acs.chemmater.4c02082</v>
      </c>
      <c r="BG21" t="s">
        <v>74</v>
      </c>
      <c r="BH21" t="s">
        <v>274</v>
      </c>
      <c r="BI21" t="s">
        <v>74</v>
      </c>
      <c r="BJ21" t="s">
        <v>74</v>
      </c>
      <c r="BK21" t="s">
        <v>74</v>
      </c>
      <c r="BL21" t="s">
        <v>74</v>
      </c>
      <c r="BM21" t="s">
        <v>74</v>
      </c>
      <c r="BN21" t="s">
        <v>74</v>
      </c>
      <c r="BO21" t="s">
        <v>74</v>
      </c>
      <c r="BP21" t="s">
        <v>74</v>
      </c>
      <c r="BQ21" t="s">
        <v>74</v>
      </c>
      <c r="BR21" t="s">
        <v>74</v>
      </c>
      <c r="BS21" t="s">
        <v>286</v>
      </c>
      <c r="BT21" t="str">
        <f>HYPERLINK("https%3A%2F%2Fwww.webofscience.com%2Fwos%2Fwoscc%2Ffull-record%2FWOS:001363814100001","View Full Record in Web of Science")</f>
        <v>View Full Record in Web of Science</v>
      </c>
    </row>
    <row r="22" spans="1:72" x14ac:dyDescent="0.15">
      <c r="A22" t="s">
        <v>72</v>
      </c>
      <c r="B22" t="s">
        <v>287</v>
      </c>
      <c r="C22" t="s">
        <v>74</v>
      </c>
      <c r="D22" t="s">
        <v>74</v>
      </c>
      <c r="E22" t="s">
        <v>74</v>
      </c>
      <c r="F22" t="s">
        <v>288</v>
      </c>
      <c r="G22" t="s">
        <v>74</v>
      </c>
      <c r="H22" t="s">
        <v>74</v>
      </c>
      <c r="I22" t="s">
        <v>289</v>
      </c>
      <c r="J22" t="s">
        <v>290</v>
      </c>
      <c r="K22" t="s">
        <v>74</v>
      </c>
      <c r="L22" t="s">
        <v>74</v>
      </c>
      <c r="M22" t="s">
        <v>74</v>
      </c>
      <c r="N22" t="s">
        <v>74</v>
      </c>
      <c r="O22" t="s">
        <v>74</v>
      </c>
      <c r="P22" t="s">
        <v>74</v>
      </c>
      <c r="Q22" t="s">
        <v>74</v>
      </c>
      <c r="R22" t="s">
        <v>74</v>
      </c>
      <c r="S22" t="s">
        <v>74</v>
      </c>
      <c r="T22" t="s">
        <v>74</v>
      </c>
      <c r="U22" t="s">
        <v>74</v>
      </c>
      <c r="V22" t="s">
        <v>74</v>
      </c>
      <c r="W22" t="s">
        <v>74</v>
      </c>
      <c r="X22" t="s">
        <v>74</v>
      </c>
      <c r="Y22" t="s">
        <v>74</v>
      </c>
      <c r="Z22" t="s">
        <v>74</v>
      </c>
      <c r="AA22" t="s">
        <v>74</v>
      </c>
      <c r="AB22" t="s">
        <v>74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291</v>
      </c>
      <c r="AP22" t="s">
        <v>292</v>
      </c>
      <c r="AQ22" t="s">
        <v>74</v>
      </c>
      <c r="AR22" t="s">
        <v>74</v>
      </c>
      <c r="AS22" t="s">
        <v>74</v>
      </c>
      <c r="AT22" t="s">
        <v>293</v>
      </c>
      <c r="AU22">
        <v>2026</v>
      </c>
      <c r="AV22" t="s">
        <v>74</v>
      </c>
      <c r="AW22" t="s">
        <v>74</v>
      </c>
      <c r="AX22" t="s">
        <v>74</v>
      </c>
      <c r="AY22" t="s">
        <v>74</v>
      </c>
      <c r="AZ22" t="s">
        <v>74</v>
      </c>
      <c r="BA22" t="s">
        <v>74</v>
      </c>
      <c r="BB22" t="s">
        <v>74</v>
      </c>
      <c r="BC22" t="s">
        <v>74</v>
      </c>
      <c r="BD22" t="s">
        <v>74</v>
      </c>
      <c r="BE22" t="s">
        <v>294</v>
      </c>
      <c r="BF22" t="str">
        <f>HYPERLINK("http://dx.doi.org/10.1002/adma.202523133","http://dx.doi.org/10.1002/adma.202523133")</f>
        <v>http://dx.doi.org/10.1002/adma.202523133</v>
      </c>
      <c r="BG22" t="s">
        <v>74</v>
      </c>
      <c r="BH22" t="s">
        <v>295</v>
      </c>
      <c r="BI22" t="s">
        <v>74</v>
      </c>
      <c r="BJ22" t="s">
        <v>74</v>
      </c>
      <c r="BK22" t="s">
        <v>74</v>
      </c>
      <c r="BL22" t="s">
        <v>74</v>
      </c>
      <c r="BM22" t="s">
        <v>74</v>
      </c>
      <c r="BN22">
        <v>42003814</v>
      </c>
      <c r="BO22" t="s">
        <v>74</v>
      </c>
      <c r="BP22" t="s">
        <v>74</v>
      </c>
      <c r="BQ22" t="s">
        <v>74</v>
      </c>
      <c r="BR22" t="s">
        <v>74</v>
      </c>
      <c r="BS22" t="s">
        <v>296</v>
      </c>
      <c r="BT22" t="str">
        <f>HYPERLINK("https%3A%2F%2Fwww.webofscience.com%2Fwos%2Fwoscc%2Ffull-record%2FWOS:001743729800001","View Full Record in Web of Science")</f>
        <v>View Full Record in Web of Science</v>
      </c>
    </row>
    <row r="23" spans="1:72" x14ac:dyDescent="0.15">
      <c r="A23" t="s">
        <v>72</v>
      </c>
      <c r="B23" t="s">
        <v>297</v>
      </c>
      <c r="C23" t="s">
        <v>74</v>
      </c>
      <c r="D23" t="s">
        <v>74</v>
      </c>
      <c r="E23" t="s">
        <v>74</v>
      </c>
      <c r="F23" t="s">
        <v>298</v>
      </c>
      <c r="G23" t="s">
        <v>74</v>
      </c>
      <c r="H23" t="s">
        <v>74</v>
      </c>
      <c r="I23" t="s">
        <v>299</v>
      </c>
      <c r="J23" t="s">
        <v>300</v>
      </c>
      <c r="K23" t="s">
        <v>74</v>
      </c>
      <c r="L23" t="s">
        <v>74</v>
      </c>
      <c r="M23" t="s">
        <v>74</v>
      </c>
      <c r="N23" t="s">
        <v>74</v>
      </c>
      <c r="O23" t="s">
        <v>74</v>
      </c>
      <c r="P23" t="s">
        <v>74</v>
      </c>
      <c r="Q23" t="s">
        <v>74</v>
      </c>
      <c r="R23" t="s">
        <v>74</v>
      </c>
      <c r="S23" t="s">
        <v>74</v>
      </c>
      <c r="T23" t="s">
        <v>74</v>
      </c>
      <c r="U23" t="s">
        <v>74</v>
      </c>
      <c r="V23" t="s">
        <v>74</v>
      </c>
      <c r="W23" t="s">
        <v>74</v>
      </c>
      <c r="X23" t="s">
        <v>74</v>
      </c>
      <c r="Y23" t="s">
        <v>74</v>
      </c>
      <c r="Z23" t="s">
        <v>74</v>
      </c>
      <c r="AA23" t="s">
        <v>301</v>
      </c>
      <c r="AB23" t="s">
        <v>302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303</v>
      </c>
      <c r="AP23" t="s">
        <v>304</v>
      </c>
      <c r="AQ23" t="s">
        <v>74</v>
      </c>
      <c r="AR23" t="s">
        <v>74</v>
      </c>
      <c r="AS23" t="s">
        <v>74</v>
      </c>
      <c r="AT23" t="s">
        <v>305</v>
      </c>
      <c r="AU23">
        <v>2025</v>
      </c>
      <c r="AV23">
        <v>43</v>
      </c>
      <c r="AW23">
        <v>4</v>
      </c>
      <c r="AX23" t="s">
        <v>74</v>
      </c>
      <c r="AY23" t="s">
        <v>74</v>
      </c>
      <c r="AZ23" t="s">
        <v>74</v>
      </c>
      <c r="BA23" t="s">
        <v>74</v>
      </c>
      <c r="BB23" t="s">
        <v>74</v>
      </c>
      <c r="BC23" t="s">
        <v>74</v>
      </c>
      <c r="BD23">
        <v>40601</v>
      </c>
      <c r="BE23" t="s">
        <v>306</v>
      </c>
      <c r="BF23" t="str">
        <f>HYPERLINK("http://dx.doi.org/10.1116/6.0004664","http://dx.doi.org/10.1116/6.0004664")</f>
        <v>http://dx.doi.org/10.1116/6.0004664</v>
      </c>
      <c r="BG23" t="s">
        <v>74</v>
      </c>
      <c r="BH23" t="s">
        <v>74</v>
      </c>
      <c r="BI23" t="s">
        <v>74</v>
      </c>
      <c r="BJ23" t="s">
        <v>74</v>
      </c>
      <c r="BK23" t="s">
        <v>74</v>
      </c>
      <c r="BL23" t="s">
        <v>74</v>
      </c>
      <c r="BM23" t="s">
        <v>74</v>
      </c>
      <c r="BN23" t="s">
        <v>74</v>
      </c>
      <c r="BO23" t="s">
        <v>74</v>
      </c>
      <c r="BP23" t="s">
        <v>74</v>
      </c>
      <c r="BQ23" t="s">
        <v>74</v>
      </c>
      <c r="BR23" t="s">
        <v>74</v>
      </c>
      <c r="BS23" t="s">
        <v>307</v>
      </c>
      <c r="BT23" t="str">
        <f>HYPERLINK("https%3A%2F%2Fwww.webofscience.com%2Fwos%2Fwoscc%2Ffull-record%2FWOS:001520589500001","View Full Record in Web of Science")</f>
        <v>View Full Record in Web of Science</v>
      </c>
    </row>
    <row r="24" spans="1:72" x14ac:dyDescent="0.15">
      <c r="A24" t="s">
        <v>72</v>
      </c>
      <c r="B24" t="s">
        <v>86</v>
      </c>
      <c r="C24" t="s">
        <v>74</v>
      </c>
      <c r="D24" t="s">
        <v>74</v>
      </c>
      <c r="E24" t="s">
        <v>74</v>
      </c>
      <c r="F24" t="s">
        <v>87</v>
      </c>
      <c r="G24" t="s">
        <v>74</v>
      </c>
      <c r="H24" t="s">
        <v>74</v>
      </c>
      <c r="I24" t="s">
        <v>308</v>
      </c>
      <c r="J24" t="s">
        <v>309</v>
      </c>
      <c r="K24" t="s">
        <v>74</v>
      </c>
      <c r="L24" t="s">
        <v>74</v>
      </c>
      <c r="M24" t="s">
        <v>74</v>
      </c>
      <c r="N24" t="s">
        <v>74</v>
      </c>
      <c r="O24" t="s">
        <v>74</v>
      </c>
      <c r="P24" t="s">
        <v>74</v>
      </c>
      <c r="Q24" t="s">
        <v>74</v>
      </c>
      <c r="R24" t="s">
        <v>74</v>
      </c>
      <c r="S24" t="s">
        <v>74</v>
      </c>
      <c r="T24" t="s">
        <v>74</v>
      </c>
      <c r="U24" t="s">
        <v>74</v>
      </c>
      <c r="V24" t="s">
        <v>74</v>
      </c>
      <c r="W24" t="s">
        <v>74</v>
      </c>
      <c r="X24" t="s">
        <v>74</v>
      </c>
      <c r="Y24" t="s">
        <v>74</v>
      </c>
      <c r="Z24" t="s">
        <v>74</v>
      </c>
      <c r="AA24" t="s">
        <v>74</v>
      </c>
      <c r="AB24" t="s">
        <v>74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310</v>
      </c>
      <c r="AP24" t="s">
        <v>74</v>
      </c>
      <c r="AQ24" t="s">
        <v>74</v>
      </c>
      <c r="AR24" t="s">
        <v>74</v>
      </c>
      <c r="AS24" t="s">
        <v>74</v>
      </c>
      <c r="AT24" t="s">
        <v>311</v>
      </c>
      <c r="AU24">
        <v>2026</v>
      </c>
      <c r="AV24">
        <v>11</v>
      </c>
      <c r="AW24">
        <v>3</v>
      </c>
      <c r="AX24" t="s">
        <v>74</v>
      </c>
      <c r="AY24" t="s">
        <v>74</v>
      </c>
      <c r="AZ24" t="s">
        <v>74</v>
      </c>
      <c r="BA24" t="s">
        <v>74</v>
      </c>
      <c r="BB24" t="s">
        <v>74</v>
      </c>
      <c r="BC24" t="s">
        <v>74</v>
      </c>
      <c r="BD24">
        <v>33101</v>
      </c>
      <c r="BE24" t="s">
        <v>312</v>
      </c>
      <c r="BF24" t="str">
        <f>HYPERLINK("http://dx.doi.org/10.1103/pw9s-vvf4","http://dx.doi.org/10.1103/pw9s-vvf4")</f>
        <v>http://dx.doi.org/10.1103/pw9s-vvf4</v>
      </c>
      <c r="BG24" t="s">
        <v>74</v>
      </c>
      <c r="BH24" t="s">
        <v>74</v>
      </c>
      <c r="BI24" t="s">
        <v>74</v>
      </c>
      <c r="BJ24" t="s">
        <v>74</v>
      </c>
      <c r="BK24" t="s">
        <v>74</v>
      </c>
      <c r="BL24" t="s">
        <v>74</v>
      </c>
      <c r="BM24" t="s">
        <v>74</v>
      </c>
      <c r="BN24" t="s">
        <v>74</v>
      </c>
      <c r="BO24" t="s">
        <v>74</v>
      </c>
      <c r="BP24" t="s">
        <v>74</v>
      </c>
      <c r="BQ24" t="s">
        <v>74</v>
      </c>
      <c r="BR24" t="s">
        <v>74</v>
      </c>
      <c r="BS24" t="s">
        <v>313</v>
      </c>
      <c r="BT24" t="str">
        <f>HYPERLINK("https%3A%2F%2Fwww.webofscience.com%2Fwos%2Fwoscc%2Ffull-record%2FWOS:001718607000001","View Full Record in Web of Science")</f>
        <v>View Full Record in Web of Science</v>
      </c>
    </row>
    <row r="25" spans="1:72" x14ac:dyDescent="0.15">
      <c r="A25" t="s">
        <v>72</v>
      </c>
      <c r="B25" t="s">
        <v>314</v>
      </c>
      <c r="C25" t="s">
        <v>74</v>
      </c>
      <c r="D25" t="s">
        <v>74</v>
      </c>
      <c r="E25" t="s">
        <v>74</v>
      </c>
      <c r="F25" t="s">
        <v>315</v>
      </c>
      <c r="G25" t="s">
        <v>74</v>
      </c>
      <c r="H25" t="s">
        <v>74</v>
      </c>
      <c r="I25" t="s">
        <v>316</v>
      </c>
      <c r="J25" t="s">
        <v>223</v>
      </c>
      <c r="K25" t="s">
        <v>74</v>
      </c>
      <c r="L25" t="s">
        <v>74</v>
      </c>
      <c r="M25" t="s">
        <v>74</v>
      </c>
      <c r="N25" t="s">
        <v>74</v>
      </c>
      <c r="O25" t="s">
        <v>74</v>
      </c>
      <c r="P25" t="s">
        <v>74</v>
      </c>
      <c r="Q25" t="s">
        <v>74</v>
      </c>
      <c r="R25" t="s">
        <v>74</v>
      </c>
      <c r="S25" t="s">
        <v>74</v>
      </c>
      <c r="T25" t="s">
        <v>74</v>
      </c>
      <c r="U25" t="s">
        <v>74</v>
      </c>
      <c r="V25" t="s">
        <v>74</v>
      </c>
      <c r="W25" t="s">
        <v>74</v>
      </c>
      <c r="X25" t="s">
        <v>74</v>
      </c>
      <c r="Y25" t="s">
        <v>74</v>
      </c>
      <c r="Z25" t="s">
        <v>74</v>
      </c>
      <c r="AA25" t="s">
        <v>317</v>
      </c>
      <c r="AB25" t="s">
        <v>318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225</v>
      </c>
      <c r="AP25" t="s">
        <v>226</v>
      </c>
      <c r="AQ25" t="s">
        <v>74</v>
      </c>
      <c r="AR25" t="s">
        <v>74</v>
      </c>
      <c r="AS25" t="s">
        <v>74</v>
      </c>
      <c r="AT25" t="s">
        <v>319</v>
      </c>
      <c r="AU25">
        <v>2024</v>
      </c>
      <c r="AV25">
        <v>16</v>
      </c>
      <c r="AW25">
        <v>44</v>
      </c>
      <c r="AX25" t="s">
        <v>74</v>
      </c>
      <c r="AY25" t="s">
        <v>74</v>
      </c>
      <c r="AZ25" t="s">
        <v>74</v>
      </c>
      <c r="BA25" t="s">
        <v>74</v>
      </c>
      <c r="BB25">
        <v>61083</v>
      </c>
      <c r="BC25">
        <v>61095</v>
      </c>
      <c r="BD25" t="s">
        <v>74</v>
      </c>
      <c r="BE25" t="s">
        <v>320</v>
      </c>
      <c r="BF25" t="str">
        <f>HYPERLINK("http://dx.doi.org/10.1021/acsami.4c14774","http://dx.doi.org/10.1021/acsami.4c14774")</f>
        <v>http://dx.doi.org/10.1021/acsami.4c14774</v>
      </c>
      <c r="BG25" t="s">
        <v>74</v>
      </c>
      <c r="BH25" t="s">
        <v>252</v>
      </c>
      <c r="BI25" t="s">
        <v>74</v>
      </c>
      <c r="BJ25" t="s">
        <v>74</v>
      </c>
      <c r="BK25" t="s">
        <v>74</v>
      </c>
      <c r="BL25" t="s">
        <v>74</v>
      </c>
      <c r="BM25" t="s">
        <v>74</v>
      </c>
      <c r="BN25">
        <v>39460750</v>
      </c>
      <c r="BO25" t="s">
        <v>74</v>
      </c>
      <c r="BP25" t="s">
        <v>74</v>
      </c>
      <c r="BQ25" t="s">
        <v>74</v>
      </c>
      <c r="BR25" t="s">
        <v>74</v>
      </c>
      <c r="BS25" t="s">
        <v>321</v>
      </c>
      <c r="BT25" t="str">
        <f>HYPERLINK("https%3A%2F%2Fwww.webofscience.com%2Fwos%2Fwoscc%2Ffull-record%2FWOS:001343724300001","View Full Record in Web of Science")</f>
        <v>View Full Record in Web of Science</v>
      </c>
    </row>
    <row r="26" spans="1:72" x14ac:dyDescent="0.15">
      <c r="A26" t="s">
        <v>72</v>
      </c>
      <c r="B26" t="s">
        <v>322</v>
      </c>
      <c r="C26" t="s">
        <v>74</v>
      </c>
      <c r="D26" t="s">
        <v>74</v>
      </c>
      <c r="E26" t="s">
        <v>74</v>
      </c>
      <c r="F26" t="s">
        <v>323</v>
      </c>
      <c r="G26" t="s">
        <v>74</v>
      </c>
      <c r="H26" t="s">
        <v>74</v>
      </c>
      <c r="I26" t="s">
        <v>324</v>
      </c>
      <c r="J26" t="s">
        <v>325</v>
      </c>
      <c r="K26" t="s">
        <v>74</v>
      </c>
      <c r="L26" t="s">
        <v>74</v>
      </c>
      <c r="M26" t="s">
        <v>74</v>
      </c>
      <c r="N26" t="s">
        <v>74</v>
      </c>
      <c r="O26" t="s">
        <v>74</v>
      </c>
      <c r="P26" t="s">
        <v>74</v>
      </c>
      <c r="Q26" t="s">
        <v>74</v>
      </c>
      <c r="R26" t="s">
        <v>74</v>
      </c>
      <c r="S26" t="s">
        <v>74</v>
      </c>
      <c r="T26" t="s">
        <v>74</v>
      </c>
      <c r="U26" t="s">
        <v>74</v>
      </c>
      <c r="V26" t="s">
        <v>74</v>
      </c>
      <c r="W26" t="s">
        <v>74</v>
      </c>
      <c r="X26" t="s">
        <v>74</v>
      </c>
      <c r="Y26" t="s">
        <v>74</v>
      </c>
      <c r="Z26" t="s">
        <v>74</v>
      </c>
      <c r="AA26" t="s">
        <v>326</v>
      </c>
      <c r="AB26" t="s">
        <v>327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328</v>
      </c>
      <c r="AP26" t="s">
        <v>329</v>
      </c>
      <c r="AQ26" t="s">
        <v>74</v>
      </c>
      <c r="AR26" t="s">
        <v>74</v>
      </c>
      <c r="AS26" t="s">
        <v>74</v>
      </c>
      <c r="AT26" t="s">
        <v>82</v>
      </c>
      <c r="AU26">
        <v>2025</v>
      </c>
      <c r="AV26">
        <v>35</v>
      </c>
      <c r="AW26">
        <v>46</v>
      </c>
      <c r="AX26" t="s">
        <v>74</v>
      </c>
      <c r="AY26" t="s">
        <v>74</v>
      </c>
      <c r="AZ26" t="s">
        <v>74</v>
      </c>
      <c r="BA26" t="s">
        <v>74</v>
      </c>
      <c r="BB26" t="s">
        <v>74</v>
      </c>
      <c r="BC26" t="s">
        <v>74</v>
      </c>
      <c r="BD26" t="s">
        <v>74</v>
      </c>
      <c r="BE26" t="s">
        <v>330</v>
      </c>
      <c r="BF26" t="str">
        <f>HYPERLINK("http://dx.doi.org/10.1002/adfm.202506725","http://dx.doi.org/10.1002/adfm.202506725")</f>
        <v>http://dx.doi.org/10.1002/adfm.202506725</v>
      </c>
      <c r="BG26" t="s">
        <v>74</v>
      </c>
      <c r="BH26" t="s">
        <v>331</v>
      </c>
      <c r="BI26" t="s">
        <v>74</v>
      </c>
      <c r="BJ26" t="s">
        <v>74</v>
      </c>
      <c r="BK26" t="s">
        <v>74</v>
      </c>
      <c r="BL26" t="s">
        <v>74</v>
      </c>
      <c r="BM26" t="s">
        <v>74</v>
      </c>
      <c r="BN26" t="s">
        <v>74</v>
      </c>
      <c r="BO26" t="s">
        <v>74</v>
      </c>
      <c r="BP26" t="s">
        <v>74</v>
      </c>
      <c r="BQ26" t="s">
        <v>74</v>
      </c>
      <c r="BR26" t="s">
        <v>74</v>
      </c>
      <c r="BS26" t="s">
        <v>332</v>
      </c>
      <c r="BT26" t="str">
        <f>HYPERLINK("https%3A%2F%2Fwww.webofscience.com%2Fwos%2Fwoscc%2Ffull-record%2FWOS:001499897700001","View Full Record in Web of Science")</f>
        <v>View Full Record in Web of Science</v>
      </c>
    </row>
    <row r="27" spans="1:72" x14ac:dyDescent="0.15">
      <c r="A27" t="s">
        <v>72</v>
      </c>
      <c r="B27" t="s">
        <v>333</v>
      </c>
      <c r="C27" t="s">
        <v>74</v>
      </c>
      <c r="D27" t="s">
        <v>74</v>
      </c>
      <c r="E27" t="s">
        <v>74</v>
      </c>
      <c r="F27" t="s">
        <v>334</v>
      </c>
      <c r="G27" t="s">
        <v>74</v>
      </c>
      <c r="H27" t="s">
        <v>74</v>
      </c>
      <c r="I27" t="s">
        <v>335</v>
      </c>
      <c r="J27" t="s">
        <v>223</v>
      </c>
      <c r="K27" t="s">
        <v>74</v>
      </c>
      <c r="L27" t="s">
        <v>74</v>
      </c>
      <c r="M27" t="s">
        <v>74</v>
      </c>
      <c r="N27" t="s">
        <v>74</v>
      </c>
      <c r="O27" t="s">
        <v>74</v>
      </c>
      <c r="P27" t="s">
        <v>74</v>
      </c>
      <c r="Q27" t="s">
        <v>74</v>
      </c>
      <c r="R27" t="s">
        <v>74</v>
      </c>
      <c r="S27" t="s">
        <v>74</v>
      </c>
      <c r="T27" t="s">
        <v>74</v>
      </c>
      <c r="U27" t="s">
        <v>74</v>
      </c>
      <c r="V27" t="s">
        <v>74</v>
      </c>
      <c r="W27" t="s">
        <v>74</v>
      </c>
      <c r="X27" t="s">
        <v>74</v>
      </c>
      <c r="Y27" t="s">
        <v>74</v>
      </c>
      <c r="Z27" t="s">
        <v>74</v>
      </c>
      <c r="AA27" t="s">
        <v>336</v>
      </c>
      <c r="AB27" t="s">
        <v>337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225</v>
      </c>
      <c r="AP27" t="s">
        <v>226</v>
      </c>
      <c r="AQ27" t="s">
        <v>74</v>
      </c>
      <c r="AR27" t="s">
        <v>74</v>
      </c>
      <c r="AS27" t="s">
        <v>74</v>
      </c>
      <c r="AT27" t="s">
        <v>338</v>
      </c>
      <c r="AU27">
        <v>2024</v>
      </c>
      <c r="AV27">
        <v>16</v>
      </c>
      <c r="AW27">
        <v>17</v>
      </c>
      <c r="AX27" t="s">
        <v>74</v>
      </c>
      <c r="AY27" t="s">
        <v>74</v>
      </c>
      <c r="AZ27" t="s">
        <v>74</v>
      </c>
      <c r="BA27" t="s">
        <v>74</v>
      </c>
      <c r="BB27">
        <v>21953</v>
      </c>
      <c r="BC27">
        <v>21964</v>
      </c>
      <c r="BD27" t="s">
        <v>74</v>
      </c>
      <c r="BE27" t="s">
        <v>339</v>
      </c>
      <c r="BF27" t="str">
        <f>HYPERLINK("http://dx.doi.org/10.1021/acsami.4c02147","http://dx.doi.org/10.1021/acsami.4c02147")</f>
        <v>http://dx.doi.org/10.1021/acsami.4c02147</v>
      </c>
      <c r="BG27" t="s">
        <v>74</v>
      </c>
      <c r="BH27" t="s">
        <v>340</v>
      </c>
      <c r="BI27" t="s">
        <v>74</v>
      </c>
      <c r="BJ27" t="s">
        <v>74</v>
      </c>
      <c r="BK27" t="s">
        <v>74</v>
      </c>
      <c r="BL27" t="s">
        <v>74</v>
      </c>
      <c r="BM27" t="s">
        <v>74</v>
      </c>
      <c r="BN27">
        <v>38629409</v>
      </c>
      <c r="BO27" t="s">
        <v>74</v>
      </c>
      <c r="BP27" t="s">
        <v>74</v>
      </c>
      <c r="BQ27" t="s">
        <v>74</v>
      </c>
      <c r="BR27" t="s">
        <v>74</v>
      </c>
      <c r="BS27" t="s">
        <v>341</v>
      </c>
      <c r="BT27" t="str">
        <f>HYPERLINK("https%3A%2F%2Fwww.webofscience.com%2Fwos%2Fwoscc%2Ffull-record%2FWOS:001204975200001","View Full Record in Web of Science")</f>
        <v>View Full Record in Web of Science</v>
      </c>
    </row>
    <row r="28" spans="1:72" x14ac:dyDescent="0.15">
      <c r="A28" t="s">
        <v>72</v>
      </c>
      <c r="B28" t="s">
        <v>342</v>
      </c>
      <c r="C28" t="s">
        <v>74</v>
      </c>
      <c r="D28" t="s">
        <v>74</v>
      </c>
      <c r="E28" t="s">
        <v>74</v>
      </c>
      <c r="F28" t="s">
        <v>343</v>
      </c>
      <c r="G28" t="s">
        <v>74</v>
      </c>
      <c r="H28" t="s">
        <v>74</v>
      </c>
      <c r="I28" t="s">
        <v>344</v>
      </c>
      <c r="J28" t="s">
        <v>345</v>
      </c>
      <c r="K28" t="s">
        <v>74</v>
      </c>
      <c r="L28" t="s">
        <v>74</v>
      </c>
      <c r="M28" t="s">
        <v>74</v>
      </c>
      <c r="N28" t="s">
        <v>74</v>
      </c>
      <c r="O28" t="s">
        <v>74</v>
      </c>
      <c r="P28" t="s">
        <v>74</v>
      </c>
      <c r="Q28" t="s">
        <v>74</v>
      </c>
      <c r="R28" t="s">
        <v>74</v>
      </c>
      <c r="S28" t="s">
        <v>74</v>
      </c>
      <c r="T28" t="s">
        <v>74</v>
      </c>
      <c r="U28" t="s">
        <v>74</v>
      </c>
      <c r="V28" t="s">
        <v>74</v>
      </c>
      <c r="W28" t="s">
        <v>74</v>
      </c>
      <c r="X28" t="s">
        <v>74</v>
      </c>
      <c r="Y28" t="s">
        <v>74</v>
      </c>
      <c r="Z28" t="s">
        <v>74</v>
      </c>
      <c r="AA28" t="s">
        <v>346</v>
      </c>
      <c r="AB28" t="s">
        <v>347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348</v>
      </c>
      <c r="AP28" t="s">
        <v>349</v>
      </c>
      <c r="AQ28" t="s">
        <v>74</v>
      </c>
      <c r="AR28" t="s">
        <v>74</v>
      </c>
      <c r="AS28" t="s">
        <v>74</v>
      </c>
      <c r="AT28" t="s">
        <v>350</v>
      </c>
      <c r="AU28">
        <v>2024</v>
      </c>
      <c r="AV28">
        <v>171</v>
      </c>
      <c r="AW28">
        <v>5</v>
      </c>
      <c r="AX28" t="s">
        <v>74</v>
      </c>
      <c r="AY28" t="s">
        <v>74</v>
      </c>
      <c r="AZ28" t="s">
        <v>74</v>
      </c>
      <c r="BA28" t="s">
        <v>74</v>
      </c>
      <c r="BB28" t="s">
        <v>74</v>
      </c>
      <c r="BC28" t="s">
        <v>74</v>
      </c>
      <c r="BD28">
        <v>52502</v>
      </c>
      <c r="BE28" t="s">
        <v>351</v>
      </c>
      <c r="BF28" t="str">
        <f>HYPERLINK("http://dx.doi.org/10.1149/1945-7111/ad4310","http://dx.doi.org/10.1149/1945-7111/ad4310")</f>
        <v>http://dx.doi.org/10.1149/1945-7111/ad4310</v>
      </c>
      <c r="BG28" t="s">
        <v>74</v>
      </c>
      <c r="BH28" t="s">
        <v>74</v>
      </c>
      <c r="BI28" t="s">
        <v>74</v>
      </c>
      <c r="BJ28" t="s">
        <v>74</v>
      </c>
      <c r="BK28" t="s">
        <v>74</v>
      </c>
      <c r="BL28" t="s">
        <v>74</v>
      </c>
      <c r="BM28" t="s">
        <v>74</v>
      </c>
      <c r="BN28" t="s">
        <v>74</v>
      </c>
      <c r="BO28" t="s">
        <v>74</v>
      </c>
      <c r="BP28" t="s">
        <v>74</v>
      </c>
      <c r="BQ28" t="s">
        <v>74</v>
      </c>
      <c r="BR28" t="s">
        <v>74</v>
      </c>
      <c r="BS28" t="s">
        <v>352</v>
      </c>
      <c r="BT28" t="str">
        <f>HYPERLINK("https%3A%2F%2Fwww.webofscience.com%2Fwos%2Fwoscc%2Ffull-record%2FWOS:001235779700001","View Full Record in Web of Science")</f>
        <v>View Full Record in Web of Science</v>
      </c>
    </row>
    <row r="29" spans="1:72" x14ac:dyDescent="0.15">
      <c r="A29" t="s">
        <v>72</v>
      </c>
      <c r="B29" t="s">
        <v>353</v>
      </c>
      <c r="C29" t="s">
        <v>74</v>
      </c>
      <c r="D29" t="s">
        <v>74</v>
      </c>
      <c r="E29" t="s">
        <v>74</v>
      </c>
      <c r="F29" t="s">
        <v>354</v>
      </c>
      <c r="G29" t="s">
        <v>74</v>
      </c>
      <c r="H29" t="s">
        <v>74</v>
      </c>
      <c r="I29" t="s">
        <v>355</v>
      </c>
      <c r="J29" t="s">
        <v>356</v>
      </c>
      <c r="K29" t="s">
        <v>74</v>
      </c>
      <c r="L29" t="s">
        <v>74</v>
      </c>
      <c r="M29" t="s">
        <v>74</v>
      </c>
      <c r="N29" t="s">
        <v>74</v>
      </c>
      <c r="O29" t="s">
        <v>74</v>
      </c>
      <c r="P29" t="s">
        <v>74</v>
      </c>
      <c r="Q29" t="s">
        <v>74</v>
      </c>
      <c r="R29" t="s">
        <v>74</v>
      </c>
      <c r="S29" t="s">
        <v>74</v>
      </c>
      <c r="T29" t="s">
        <v>74</v>
      </c>
      <c r="U29" t="s">
        <v>74</v>
      </c>
      <c r="V29" t="s">
        <v>74</v>
      </c>
      <c r="W29" t="s">
        <v>74</v>
      </c>
      <c r="X29" t="s">
        <v>74</v>
      </c>
      <c r="Y29" t="s">
        <v>74</v>
      </c>
      <c r="Z29" t="s">
        <v>74</v>
      </c>
      <c r="AA29" t="s">
        <v>357</v>
      </c>
      <c r="AB29" t="s">
        <v>358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359</v>
      </c>
      <c r="AQ29" t="s">
        <v>74</v>
      </c>
      <c r="AR29" t="s">
        <v>74</v>
      </c>
      <c r="AS29" t="s">
        <v>74</v>
      </c>
      <c r="AT29" t="s">
        <v>360</v>
      </c>
      <c r="AU29">
        <v>2025</v>
      </c>
      <c r="AV29">
        <v>18</v>
      </c>
      <c r="AW29">
        <v>18</v>
      </c>
      <c r="AX29" t="s">
        <v>74</v>
      </c>
      <c r="AY29" t="s">
        <v>74</v>
      </c>
      <c r="AZ29" t="s">
        <v>74</v>
      </c>
      <c r="BA29" t="s">
        <v>74</v>
      </c>
      <c r="BB29" t="s">
        <v>74</v>
      </c>
      <c r="BC29" t="s">
        <v>74</v>
      </c>
      <c r="BD29">
        <v>4287</v>
      </c>
      <c r="BE29" t="s">
        <v>361</v>
      </c>
      <c r="BF29" t="str">
        <f>HYPERLINK("http://dx.doi.org/10.3390/ma18184287","http://dx.doi.org/10.3390/ma18184287")</f>
        <v>http://dx.doi.org/10.3390/ma18184287</v>
      </c>
      <c r="BG29" t="s">
        <v>74</v>
      </c>
      <c r="BH29" t="s">
        <v>74</v>
      </c>
      <c r="BI29" t="s">
        <v>74</v>
      </c>
      <c r="BJ29" t="s">
        <v>74</v>
      </c>
      <c r="BK29" t="s">
        <v>74</v>
      </c>
      <c r="BL29" t="s">
        <v>74</v>
      </c>
      <c r="BM29" t="s">
        <v>74</v>
      </c>
      <c r="BN29">
        <v>41010131</v>
      </c>
      <c r="BO29" t="s">
        <v>74</v>
      </c>
      <c r="BP29" t="s">
        <v>74</v>
      </c>
      <c r="BQ29" t="s">
        <v>74</v>
      </c>
      <c r="BR29" t="s">
        <v>74</v>
      </c>
      <c r="BS29" t="s">
        <v>362</v>
      </c>
      <c r="BT29" t="str">
        <f>HYPERLINK("https%3A%2F%2Fwww.webofscience.com%2Fwos%2Fwoscc%2Ffull-record%2FWOS:001580691900001","View Full Record in Web of Science")</f>
        <v>View Full Record in Web of Science</v>
      </c>
    </row>
    <row r="30" spans="1:72" x14ac:dyDescent="0.15">
      <c r="A30" t="s">
        <v>72</v>
      </c>
      <c r="B30" t="s">
        <v>363</v>
      </c>
      <c r="C30" t="s">
        <v>74</v>
      </c>
      <c r="D30" t="s">
        <v>74</v>
      </c>
      <c r="E30" t="s">
        <v>74</v>
      </c>
      <c r="F30" t="s">
        <v>120</v>
      </c>
      <c r="G30" t="s">
        <v>74</v>
      </c>
      <c r="H30" t="s">
        <v>74</v>
      </c>
      <c r="I30" t="s">
        <v>364</v>
      </c>
      <c r="J30" t="s">
        <v>365</v>
      </c>
      <c r="K30" t="s">
        <v>74</v>
      </c>
      <c r="L30" t="s">
        <v>74</v>
      </c>
      <c r="M30" t="s">
        <v>74</v>
      </c>
      <c r="N30" t="s">
        <v>74</v>
      </c>
      <c r="O30" t="s">
        <v>74</v>
      </c>
      <c r="P30" t="s">
        <v>74</v>
      </c>
      <c r="Q30" t="s">
        <v>74</v>
      </c>
      <c r="R30" t="s">
        <v>74</v>
      </c>
      <c r="S30" t="s">
        <v>74</v>
      </c>
      <c r="T30" t="s">
        <v>74</v>
      </c>
      <c r="U30" t="s">
        <v>74</v>
      </c>
      <c r="V30" t="s">
        <v>74</v>
      </c>
      <c r="W30" t="s">
        <v>74</v>
      </c>
      <c r="X30" t="s">
        <v>74</v>
      </c>
      <c r="Y30" t="s">
        <v>74</v>
      </c>
      <c r="Z30" t="s">
        <v>74</v>
      </c>
      <c r="AA30" t="s">
        <v>366</v>
      </c>
      <c r="AB30" t="s">
        <v>367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368</v>
      </c>
      <c r="AQ30" t="s">
        <v>74</v>
      </c>
      <c r="AR30" t="s">
        <v>74</v>
      </c>
      <c r="AS30" t="s">
        <v>74</v>
      </c>
      <c r="AT30" t="s">
        <v>369</v>
      </c>
      <c r="AU30">
        <v>2024</v>
      </c>
      <c r="AV30">
        <v>13</v>
      </c>
      <c r="AW30">
        <v>9</v>
      </c>
      <c r="AX30" t="s">
        <v>74</v>
      </c>
      <c r="AY30" t="s">
        <v>74</v>
      </c>
      <c r="AZ30" t="s">
        <v>74</v>
      </c>
      <c r="BA30" t="s">
        <v>74</v>
      </c>
      <c r="BB30">
        <v>1192</v>
      </c>
      <c r="BC30">
        <v>1197</v>
      </c>
      <c r="BD30" t="s">
        <v>74</v>
      </c>
      <c r="BE30" t="s">
        <v>370</v>
      </c>
      <c r="BF30" t="str">
        <f>HYPERLINK("http://dx.doi.org/10.1021/acsmacrolett.4c00438","http://dx.doi.org/10.1021/acsmacrolett.4c00438")</f>
        <v>http://dx.doi.org/10.1021/acsmacrolett.4c00438</v>
      </c>
      <c r="BG30" t="s">
        <v>74</v>
      </c>
      <c r="BH30" t="s">
        <v>371</v>
      </c>
      <c r="BI30" t="s">
        <v>74</v>
      </c>
      <c r="BJ30" t="s">
        <v>74</v>
      </c>
      <c r="BK30" t="s">
        <v>74</v>
      </c>
      <c r="BL30" t="s">
        <v>74</v>
      </c>
      <c r="BM30" t="s">
        <v>74</v>
      </c>
      <c r="BN30">
        <v>39186255</v>
      </c>
      <c r="BO30" t="s">
        <v>74</v>
      </c>
      <c r="BP30" t="s">
        <v>74</v>
      </c>
      <c r="BQ30" t="s">
        <v>74</v>
      </c>
      <c r="BR30" t="s">
        <v>74</v>
      </c>
      <c r="BS30" t="s">
        <v>372</v>
      </c>
      <c r="BT30" t="str">
        <f>HYPERLINK("https%3A%2F%2Fwww.webofscience.com%2Fwos%2Fwoscc%2Ffull-record%2FWOS:001300386100001","View Full Record in Web of Science")</f>
        <v>View Full Record in Web of Science</v>
      </c>
    </row>
    <row r="31" spans="1:72" x14ac:dyDescent="0.15">
      <c r="A31" t="s">
        <v>72</v>
      </c>
      <c r="B31" t="s">
        <v>373</v>
      </c>
      <c r="C31" t="s">
        <v>74</v>
      </c>
      <c r="D31" t="s">
        <v>74</v>
      </c>
      <c r="E31" t="s">
        <v>74</v>
      </c>
      <c r="F31" t="s">
        <v>374</v>
      </c>
      <c r="G31" t="s">
        <v>74</v>
      </c>
      <c r="H31" t="s">
        <v>74</v>
      </c>
      <c r="I31" t="s">
        <v>375</v>
      </c>
      <c r="J31" t="s">
        <v>245</v>
      </c>
      <c r="K31" t="s">
        <v>74</v>
      </c>
      <c r="L31" t="s">
        <v>74</v>
      </c>
      <c r="M31" t="s">
        <v>74</v>
      </c>
      <c r="N31" t="s">
        <v>74</v>
      </c>
      <c r="O31" t="s">
        <v>74</v>
      </c>
      <c r="P31" t="s">
        <v>74</v>
      </c>
      <c r="Q31" t="s">
        <v>74</v>
      </c>
      <c r="R31" t="s">
        <v>74</v>
      </c>
      <c r="S31" t="s">
        <v>74</v>
      </c>
      <c r="T31" t="s">
        <v>74</v>
      </c>
      <c r="U31" t="s">
        <v>74</v>
      </c>
      <c r="V31" t="s">
        <v>74</v>
      </c>
      <c r="W31" t="s">
        <v>74</v>
      </c>
      <c r="X31" t="s">
        <v>74</v>
      </c>
      <c r="Y31" t="s">
        <v>74</v>
      </c>
      <c r="Z31" t="s">
        <v>74</v>
      </c>
      <c r="AA31" t="s">
        <v>74</v>
      </c>
      <c r="AB31" t="s">
        <v>376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248</v>
      </c>
      <c r="AP31" t="s">
        <v>249</v>
      </c>
      <c r="AQ31" t="s">
        <v>74</v>
      </c>
      <c r="AR31" t="s">
        <v>74</v>
      </c>
      <c r="AS31" t="s">
        <v>74</v>
      </c>
      <c r="AT31" t="s">
        <v>377</v>
      </c>
      <c r="AU31">
        <v>2025</v>
      </c>
      <c r="AV31">
        <v>21</v>
      </c>
      <c r="AW31">
        <v>23</v>
      </c>
      <c r="AX31" t="s">
        <v>74</v>
      </c>
      <c r="AY31" t="s">
        <v>74</v>
      </c>
      <c r="AZ31" t="s">
        <v>74</v>
      </c>
      <c r="BA31" t="s">
        <v>74</v>
      </c>
      <c r="BB31">
        <v>4719</v>
      </c>
      <c r="BC31">
        <v>4729</v>
      </c>
      <c r="BD31" t="s">
        <v>74</v>
      </c>
      <c r="BE31" t="s">
        <v>378</v>
      </c>
      <c r="BF31" t="str">
        <f>HYPERLINK("http://dx.doi.org/10.1039/d5sm00339c","http://dx.doi.org/10.1039/d5sm00339c")</f>
        <v>http://dx.doi.org/10.1039/d5sm00339c</v>
      </c>
      <c r="BG31" t="s">
        <v>74</v>
      </c>
      <c r="BH31" t="s">
        <v>379</v>
      </c>
      <c r="BI31" t="s">
        <v>74</v>
      </c>
      <c r="BJ31" t="s">
        <v>74</v>
      </c>
      <c r="BK31" t="s">
        <v>74</v>
      </c>
      <c r="BL31" t="s">
        <v>74</v>
      </c>
      <c r="BM31" t="s">
        <v>74</v>
      </c>
      <c r="BN31">
        <v>40400406</v>
      </c>
      <c r="BO31" t="s">
        <v>74</v>
      </c>
      <c r="BP31" t="s">
        <v>74</v>
      </c>
      <c r="BQ31" t="s">
        <v>74</v>
      </c>
      <c r="BR31" t="s">
        <v>74</v>
      </c>
      <c r="BS31" t="s">
        <v>380</v>
      </c>
      <c r="BT31" t="str">
        <f>HYPERLINK("https%3A%2F%2Fwww.webofscience.com%2Fwos%2Fwoscc%2Ffull-record%2FWOS:001492437600001","View Full Record in Web of Science")</f>
        <v>View Full Record in Web of Science</v>
      </c>
    </row>
    <row r="32" spans="1:72" x14ac:dyDescent="0.15">
      <c r="A32" t="s">
        <v>72</v>
      </c>
      <c r="B32" t="s">
        <v>381</v>
      </c>
      <c r="C32" t="s">
        <v>74</v>
      </c>
      <c r="D32" t="s">
        <v>74</v>
      </c>
      <c r="E32" t="s">
        <v>74</v>
      </c>
      <c r="F32" t="s">
        <v>382</v>
      </c>
      <c r="G32" t="s">
        <v>74</v>
      </c>
      <c r="H32" t="s">
        <v>74</v>
      </c>
      <c r="I32" t="s">
        <v>383</v>
      </c>
      <c r="J32" t="s">
        <v>325</v>
      </c>
      <c r="K32" t="s">
        <v>74</v>
      </c>
      <c r="L32" t="s">
        <v>74</v>
      </c>
      <c r="M32" t="s">
        <v>74</v>
      </c>
      <c r="N32" t="s">
        <v>74</v>
      </c>
      <c r="O32" t="s">
        <v>74</v>
      </c>
      <c r="P32" t="s">
        <v>74</v>
      </c>
      <c r="Q32" t="s">
        <v>74</v>
      </c>
      <c r="R32" t="s">
        <v>74</v>
      </c>
      <c r="S32" t="s">
        <v>74</v>
      </c>
      <c r="T32" t="s">
        <v>74</v>
      </c>
      <c r="U32" t="s">
        <v>74</v>
      </c>
      <c r="V32" t="s">
        <v>74</v>
      </c>
      <c r="W32" t="s">
        <v>74</v>
      </c>
      <c r="X32" t="s">
        <v>74</v>
      </c>
      <c r="Y32" t="s">
        <v>74</v>
      </c>
      <c r="Z32" t="s">
        <v>74</v>
      </c>
      <c r="AA32" t="s">
        <v>384</v>
      </c>
      <c r="AB32" t="s">
        <v>385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328</v>
      </c>
      <c r="AP32" t="s">
        <v>329</v>
      </c>
      <c r="AQ32" t="s">
        <v>74</v>
      </c>
      <c r="AR32" t="s">
        <v>74</v>
      </c>
      <c r="AS32" t="s">
        <v>74</v>
      </c>
      <c r="AT32" t="s">
        <v>386</v>
      </c>
      <c r="AU32">
        <v>2025</v>
      </c>
      <c r="AV32">
        <v>35</v>
      </c>
      <c r="AW32">
        <v>4</v>
      </c>
      <c r="AX32" t="s">
        <v>74</v>
      </c>
      <c r="AY32" t="s">
        <v>74</v>
      </c>
      <c r="AZ32" t="s">
        <v>74</v>
      </c>
      <c r="BA32" t="s">
        <v>74</v>
      </c>
      <c r="BB32" t="s">
        <v>74</v>
      </c>
      <c r="BC32" t="s">
        <v>74</v>
      </c>
      <c r="BD32" t="s">
        <v>74</v>
      </c>
      <c r="BE32" t="s">
        <v>387</v>
      </c>
      <c r="BF32" t="str">
        <f>HYPERLINK("http://dx.doi.org/10.1002/adfm.202413965","http://dx.doi.org/10.1002/adfm.202413965")</f>
        <v>http://dx.doi.org/10.1002/adfm.202413965</v>
      </c>
      <c r="BG32" t="s">
        <v>74</v>
      </c>
      <c r="BH32" t="s">
        <v>252</v>
      </c>
      <c r="BI32" t="s">
        <v>74</v>
      </c>
      <c r="BJ32" t="s">
        <v>74</v>
      </c>
      <c r="BK32" t="s">
        <v>74</v>
      </c>
      <c r="BL32" t="s">
        <v>74</v>
      </c>
      <c r="BM32" t="s">
        <v>74</v>
      </c>
      <c r="BN32" t="s">
        <v>74</v>
      </c>
      <c r="BO32" t="s">
        <v>74</v>
      </c>
      <c r="BP32" t="s">
        <v>74</v>
      </c>
      <c r="BQ32" t="s">
        <v>74</v>
      </c>
      <c r="BR32" t="s">
        <v>74</v>
      </c>
      <c r="BS32" t="s">
        <v>388</v>
      </c>
      <c r="BT32" t="str">
        <f>HYPERLINK("https%3A%2F%2Fwww.webofscience.com%2Fwos%2Fwoscc%2Ffull-record%2FWOS:001336348300001","View Full Record in Web of Science")</f>
        <v>View Full Record in Web of Science</v>
      </c>
    </row>
    <row r="33" spans="1:72" x14ac:dyDescent="0.15">
      <c r="A33" t="s">
        <v>72</v>
      </c>
      <c r="B33" t="s">
        <v>389</v>
      </c>
      <c r="C33" t="s">
        <v>74</v>
      </c>
      <c r="D33" t="s">
        <v>74</v>
      </c>
      <c r="E33" t="s">
        <v>74</v>
      </c>
      <c r="F33" t="s">
        <v>390</v>
      </c>
      <c r="G33" t="s">
        <v>74</v>
      </c>
      <c r="H33" t="s">
        <v>74</v>
      </c>
      <c r="I33" t="s">
        <v>391</v>
      </c>
      <c r="J33" t="s">
        <v>290</v>
      </c>
      <c r="K33" t="s">
        <v>74</v>
      </c>
      <c r="L33" t="s">
        <v>74</v>
      </c>
      <c r="M33" t="s">
        <v>74</v>
      </c>
      <c r="N33" t="s">
        <v>74</v>
      </c>
      <c r="O33" t="s">
        <v>74</v>
      </c>
      <c r="P33" t="s">
        <v>74</v>
      </c>
      <c r="Q33" t="s">
        <v>74</v>
      </c>
      <c r="R33" t="s">
        <v>74</v>
      </c>
      <c r="S33" t="s">
        <v>74</v>
      </c>
      <c r="T33" t="s">
        <v>74</v>
      </c>
      <c r="U33" t="s">
        <v>74</v>
      </c>
      <c r="V33" t="s">
        <v>74</v>
      </c>
      <c r="W33" t="s">
        <v>74</v>
      </c>
      <c r="X33" t="s">
        <v>74</v>
      </c>
      <c r="Y33" t="s">
        <v>74</v>
      </c>
      <c r="Z33" t="s">
        <v>74</v>
      </c>
      <c r="AA33" t="s">
        <v>392</v>
      </c>
      <c r="AB33" t="s">
        <v>393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291</v>
      </c>
      <c r="AP33" t="s">
        <v>292</v>
      </c>
      <c r="AQ33" t="s">
        <v>74</v>
      </c>
      <c r="AR33" t="s">
        <v>74</v>
      </c>
      <c r="AS33" t="s">
        <v>74</v>
      </c>
      <c r="AT33" t="s">
        <v>394</v>
      </c>
      <c r="AU33">
        <v>2025</v>
      </c>
      <c r="AV33">
        <v>37</v>
      </c>
      <c r="AW33">
        <v>34</v>
      </c>
      <c r="AX33" t="s">
        <v>74</v>
      </c>
      <c r="AY33" t="s">
        <v>74</v>
      </c>
      <c r="AZ33" t="s">
        <v>74</v>
      </c>
      <c r="BA33" t="s">
        <v>74</v>
      </c>
      <c r="BB33" t="s">
        <v>74</v>
      </c>
      <c r="BC33" t="s">
        <v>74</v>
      </c>
      <c r="BD33" t="s">
        <v>74</v>
      </c>
      <c r="BE33" t="s">
        <v>395</v>
      </c>
      <c r="BF33" t="str">
        <f>HYPERLINK("http://dx.doi.org/10.1002/adma.202504461","http://dx.doi.org/10.1002/adma.202504461")</f>
        <v>http://dx.doi.org/10.1002/adma.202504461</v>
      </c>
      <c r="BG33" t="s">
        <v>74</v>
      </c>
      <c r="BH33" t="s">
        <v>331</v>
      </c>
      <c r="BI33" t="s">
        <v>74</v>
      </c>
      <c r="BJ33" t="s">
        <v>74</v>
      </c>
      <c r="BK33" t="s">
        <v>74</v>
      </c>
      <c r="BL33" t="s">
        <v>74</v>
      </c>
      <c r="BM33" t="s">
        <v>74</v>
      </c>
      <c r="BN33">
        <v>40492957</v>
      </c>
      <c r="BO33" t="s">
        <v>74</v>
      </c>
      <c r="BP33" t="s">
        <v>74</v>
      </c>
      <c r="BQ33" t="s">
        <v>74</v>
      </c>
      <c r="BR33" t="s">
        <v>74</v>
      </c>
      <c r="BS33" t="s">
        <v>396</v>
      </c>
      <c r="BT33" t="str">
        <f>HYPERLINK("https%3A%2F%2Fwww.webofscience.com%2Fwos%2Fwoscc%2Ffull-record%2FWOS:001506059500001","View Full Record in Web of Science")</f>
        <v>View Full Record in Web of Science</v>
      </c>
    </row>
    <row r="34" spans="1:72" x14ac:dyDescent="0.15">
      <c r="A34" t="s">
        <v>72</v>
      </c>
      <c r="B34" t="s">
        <v>397</v>
      </c>
      <c r="C34" t="s">
        <v>74</v>
      </c>
      <c r="D34" t="s">
        <v>74</v>
      </c>
      <c r="E34" t="s">
        <v>74</v>
      </c>
      <c r="F34" t="s">
        <v>398</v>
      </c>
      <c r="G34" t="s">
        <v>74</v>
      </c>
      <c r="H34" t="s">
        <v>74</v>
      </c>
      <c r="I34" t="s">
        <v>399</v>
      </c>
      <c r="J34" t="s">
        <v>400</v>
      </c>
      <c r="K34" t="s">
        <v>74</v>
      </c>
      <c r="L34" t="s">
        <v>74</v>
      </c>
      <c r="M34" t="s">
        <v>74</v>
      </c>
      <c r="N34" t="s">
        <v>74</v>
      </c>
      <c r="O34" t="s">
        <v>74</v>
      </c>
      <c r="P34" t="s">
        <v>74</v>
      </c>
      <c r="Q34" t="s">
        <v>74</v>
      </c>
      <c r="R34" t="s">
        <v>74</v>
      </c>
      <c r="S34" t="s">
        <v>74</v>
      </c>
      <c r="T34" t="s">
        <v>74</v>
      </c>
      <c r="U34" t="s">
        <v>74</v>
      </c>
      <c r="V34" t="s">
        <v>74</v>
      </c>
      <c r="W34" t="s">
        <v>74</v>
      </c>
      <c r="X34" t="s">
        <v>74</v>
      </c>
      <c r="Y34" t="s">
        <v>74</v>
      </c>
      <c r="Z34" t="s">
        <v>74</v>
      </c>
      <c r="AA34" t="s">
        <v>401</v>
      </c>
      <c r="AB34" t="s">
        <v>402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403</v>
      </c>
      <c r="AQ34" t="s">
        <v>74</v>
      </c>
      <c r="AR34" t="s">
        <v>74</v>
      </c>
      <c r="AS34" t="s">
        <v>74</v>
      </c>
      <c r="AT34" t="s">
        <v>404</v>
      </c>
      <c r="AU34">
        <v>2025</v>
      </c>
      <c r="AV34">
        <v>7</v>
      </c>
      <c r="AW34">
        <v>9</v>
      </c>
      <c r="AX34" t="s">
        <v>74</v>
      </c>
      <c r="AY34" t="s">
        <v>74</v>
      </c>
      <c r="AZ34" t="s">
        <v>74</v>
      </c>
      <c r="BA34" t="s">
        <v>74</v>
      </c>
      <c r="BB34">
        <v>3150</v>
      </c>
      <c r="BC34">
        <v>3158</v>
      </c>
      <c r="BD34" t="s">
        <v>74</v>
      </c>
      <c r="BE34" t="s">
        <v>405</v>
      </c>
      <c r="BF34" t="str">
        <f>HYPERLINK("http://dx.doi.org/10.1021/acsmaterialslett.5c00817","http://dx.doi.org/10.1021/acsmaterialslett.5c00817")</f>
        <v>http://dx.doi.org/10.1021/acsmaterialslett.5c00817</v>
      </c>
      <c r="BG34" t="s">
        <v>74</v>
      </c>
      <c r="BH34" t="s">
        <v>406</v>
      </c>
      <c r="BI34" t="s">
        <v>74</v>
      </c>
      <c r="BJ34" t="s">
        <v>74</v>
      </c>
      <c r="BK34" t="s">
        <v>74</v>
      </c>
      <c r="BL34" t="s">
        <v>74</v>
      </c>
      <c r="BM34" t="s">
        <v>74</v>
      </c>
      <c r="BN34">
        <v>40909108</v>
      </c>
      <c r="BO34" t="s">
        <v>74</v>
      </c>
      <c r="BP34" t="s">
        <v>74</v>
      </c>
      <c r="BQ34" t="s">
        <v>74</v>
      </c>
      <c r="BR34" t="s">
        <v>74</v>
      </c>
      <c r="BS34" t="s">
        <v>407</v>
      </c>
      <c r="BT34" t="str">
        <f>HYPERLINK("https%3A%2F%2Fwww.webofscience.com%2Fwos%2Fwoscc%2Ffull-record%2FWOS:001550474400001","View Full Record in Web of Science")</f>
        <v>View Full Record in Web of Science</v>
      </c>
    </row>
    <row r="35" spans="1:72" x14ac:dyDescent="0.15">
      <c r="A35" t="s">
        <v>72</v>
      </c>
      <c r="B35" t="s">
        <v>408</v>
      </c>
      <c r="C35" t="s">
        <v>74</v>
      </c>
      <c r="D35" t="s">
        <v>74</v>
      </c>
      <c r="E35" t="s">
        <v>74</v>
      </c>
      <c r="F35" t="s">
        <v>409</v>
      </c>
      <c r="G35" t="s">
        <v>74</v>
      </c>
      <c r="H35" t="s">
        <v>74</v>
      </c>
      <c r="I35" t="s">
        <v>410</v>
      </c>
      <c r="J35" t="s">
        <v>411</v>
      </c>
      <c r="K35" t="s">
        <v>74</v>
      </c>
      <c r="L35" t="s">
        <v>74</v>
      </c>
      <c r="M35" t="s">
        <v>74</v>
      </c>
      <c r="N35" t="s">
        <v>74</v>
      </c>
      <c r="O35" t="s">
        <v>74</v>
      </c>
      <c r="P35" t="s">
        <v>74</v>
      </c>
      <c r="Q35" t="s">
        <v>74</v>
      </c>
      <c r="R35" t="s">
        <v>74</v>
      </c>
      <c r="S35" t="s">
        <v>74</v>
      </c>
      <c r="T35" t="s">
        <v>74</v>
      </c>
      <c r="U35" t="s">
        <v>74</v>
      </c>
      <c r="V35" t="s">
        <v>74</v>
      </c>
      <c r="W35" t="s">
        <v>74</v>
      </c>
      <c r="X35" t="s">
        <v>74</v>
      </c>
      <c r="Y35" t="s">
        <v>74</v>
      </c>
      <c r="Z35" t="s">
        <v>74</v>
      </c>
      <c r="AA35" t="s">
        <v>74</v>
      </c>
      <c r="AB35" t="s">
        <v>412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413</v>
      </c>
      <c r="AP35" t="s">
        <v>414</v>
      </c>
      <c r="AQ35" t="s">
        <v>74</v>
      </c>
      <c r="AR35" t="s">
        <v>74</v>
      </c>
      <c r="AS35" t="s">
        <v>74</v>
      </c>
      <c r="AT35" t="s">
        <v>415</v>
      </c>
      <c r="AU35">
        <v>2024</v>
      </c>
      <c r="AV35">
        <v>15</v>
      </c>
      <c r="AW35">
        <v>7</v>
      </c>
      <c r="AX35" t="s">
        <v>74</v>
      </c>
      <c r="AY35" t="s">
        <v>74</v>
      </c>
      <c r="AZ35" t="s">
        <v>74</v>
      </c>
      <c r="BA35" t="s">
        <v>74</v>
      </c>
      <c r="BB35" t="s">
        <v>74</v>
      </c>
      <c r="BC35" t="s">
        <v>74</v>
      </c>
      <c r="BD35" t="s">
        <v>74</v>
      </c>
      <c r="BE35" t="s">
        <v>416</v>
      </c>
      <c r="BF35" t="str">
        <f>HYPERLINK("http://dx.doi.org/10.1016/j.cels.2024.06.004","http://dx.doi.org/10.1016/j.cels.2024.06.004")</f>
        <v>http://dx.doi.org/10.1016/j.cels.2024.06.004</v>
      </c>
      <c r="BG35" t="s">
        <v>74</v>
      </c>
      <c r="BH35" t="s">
        <v>126</v>
      </c>
      <c r="BI35" t="s">
        <v>74</v>
      </c>
      <c r="BJ35" t="s">
        <v>74</v>
      </c>
      <c r="BK35" t="s">
        <v>74</v>
      </c>
      <c r="BL35" t="s">
        <v>74</v>
      </c>
      <c r="BM35" t="s">
        <v>74</v>
      </c>
      <c r="BN35">
        <v>38981488</v>
      </c>
      <c r="BO35" t="s">
        <v>74</v>
      </c>
      <c r="BP35" t="s">
        <v>74</v>
      </c>
      <c r="BQ35" t="s">
        <v>74</v>
      </c>
      <c r="BR35" t="s">
        <v>74</v>
      </c>
      <c r="BS35" t="s">
        <v>417</v>
      </c>
      <c r="BT35" t="str">
        <f>HYPERLINK("https%3A%2F%2Fwww.webofscience.com%2Fwos%2Fwoscc%2Ffull-record%2FWOS:001273631200001","View Full Record in Web of Science")</f>
        <v>View Full Record in Web of Science</v>
      </c>
    </row>
    <row r="36" spans="1:72" x14ac:dyDescent="0.15">
      <c r="A36" t="s">
        <v>72</v>
      </c>
      <c r="B36" t="s">
        <v>418</v>
      </c>
      <c r="C36" t="s">
        <v>74</v>
      </c>
      <c r="D36" t="s">
        <v>74</v>
      </c>
      <c r="E36" t="s">
        <v>74</v>
      </c>
      <c r="F36" t="s">
        <v>419</v>
      </c>
      <c r="G36" t="s">
        <v>74</v>
      </c>
      <c r="H36" t="s">
        <v>74</v>
      </c>
      <c r="I36" t="s">
        <v>420</v>
      </c>
      <c r="J36" t="s">
        <v>421</v>
      </c>
      <c r="K36" t="s">
        <v>74</v>
      </c>
      <c r="L36" t="s">
        <v>74</v>
      </c>
      <c r="M36" t="s">
        <v>74</v>
      </c>
      <c r="N36" t="s">
        <v>74</v>
      </c>
      <c r="O36" t="s">
        <v>74</v>
      </c>
      <c r="P36" t="s">
        <v>74</v>
      </c>
      <c r="Q36" t="s">
        <v>74</v>
      </c>
      <c r="R36" t="s">
        <v>74</v>
      </c>
      <c r="S36" t="s">
        <v>74</v>
      </c>
      <c r="T36" t="s">
        <v>74</v>
      </c>
      <c r="U36" t="s">
        <v>74</v>
      </c>
      <c r="V36" t="s">
        <v>74</v>
      </c>
      <c r="W36" t="s">
        <v>74</v>
      </c>
      <c r="X36" t="s">
        <v>74</v>
      </c>
      <c r="Y36" t="s">
        <v>74</v>
      </c>
      <c r="Z36" t="s">
        <v>74</v>
      </c>
      <c r="AA36" t="s">
        <v>74</v>
      </c>
      <c r="AB36" t="s">
        <v>422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423</v>
      </c>
      <c r="AP36" t="s">
        <v>424</v>
      </c>
      <c r="AQ36" t="s">
        <v>74</v>
      </c>
      <c r="AR36" t="s">
        <v>74</v>
      </c>
      <c r="AS36" t="s">
        <v>74</v>
      </c>
      <c r="AT36" t="s">
        <v>425</v>
      </c>
      <c r="AU36">
        <v>2025</v>
      </c>
      <c r="AV36">
        <v>26</v>
      </c>
      <c r="AW36">
        <v>12</v>
      </c>
      <c r="AX36" t="s">
        <v>74</v>
      </c>
      <c r="AY36" t="s">
        <v>74</v>
      </c>
      <c r="AZ36" t="s">
        <v>74</v>
      </c>
      <c r="BA36" t="s">
        <v>74</v>
      </c>
      <c r="BB36" t="s">
        <v>74</v>
      </c>
      <c r="BC36" t="s">
        <v>74</v>
      </c>
      <c r="BD36" t="s">
        <v>74</v>
      </c>
      <c r="BE36" t="s">
        <v>426</v>
      </c>
      <c r="BF36" t="str">
        <f>HYPERLINK("http://dx.doi.org/10.1002/cbic.202400834","http://dx.doi.org/10.1002/cbic.202400834")</f>
        <v>http://dx.doi.org/10.1002/cbic.202400834</v>
      </c>
      <c r="BG36" t="s">
        <v>74</v>
      </c>
      <c r="BH36" t="s">
        <v>218</v>
      </c>
      <c r="BI36" t="s">
        <v>74</v>
      </c>
      <c r="BJ36" t="s">
        <v>74</v>
      </c>
      <c r="BK36" t="s">
        <v>74</v>
      </c>
      <c r="BL36" t="s">
        <v>74</v>
      </c>
      <c r="BM36" t="s">
        <v>74</v>
      </c>
      <c r="BN36">
        <v>40021488</v>
      </c>
      <c r="BO36" t="s">
        <v>74</v>
      </c>
      <c r="BP36" t="s">
        <v>74</v>
      </c>
      <c r="BQ36" t="s">
        <v>74</v>
      </c>
      <c r="BR36" t="s">
        <v>74</v>
      </c>
      <c r="BS36" t="s">
        <v>427</v>
      </c>
      <c r="BT36" t="str">
        <f>HYPERLINK("https%3A%2F%2Fwww.webofscience.com%2Fwos%2Fwoscc%2Ffull-record%2FWOS:001448737900001","View Full Record in Web of Science")</f>
        <v>View Full Record in Web of Science</v>
      </c>
    </row>
    <row r="37" spans="1:72" x14ac:dyDescent="0.15">
      <c r="A37" t="s">
        <v>72</v>
      </c>
      <c r="B37" t="s">
        <v>428</v>
      </c>
      <c r="C37" t="s">
        <v>74</v>
      </c>
      <c r="D37" t="s">
        <v>74</v>
      </c>
      <c r="E37" t="s">
        <v>74</v>
      </c>
      <c r="F37" t="s">
        <v>429</v>
      </c>
      <c r="G37" t="s">
        <v>74</v>
      </c>
      <c r="H37" t="s">
        <v>74</v>
      </c>
      <c r="I37" t="s">
        <v>430</v>
      </c>
      <c r="J37" t="s">
        <v>431</v>
      </c>
      <c r="K37" t="s">
        <v>74</v>
      </c>
      <c r="L37" t="s">
        <v>74</v>
      </c>
      <c r="M37" t="s">
        <v>74</v>
      </c>
      <c r="N37" t="s">
        <v>74</v>
      </c>
      <c r="O37" t="s">
        <v>74</v>
      </c>
      <c r="P37" t="s">
        <v>74</v>
      </c>
      <c r="Q37" t="s">
        <v>74</v>
      </c>
      <c r="R37" t="s">
        <v>74</v>
      </c>
      <c r="S37" t="s">
        <v>74</v>
      </c>
      <c r="T37" t="s">
        <v>74</v>
      </c>
      <c r="U37" t="s">
        <v>74</v>
      </c>
      <c r="V37" t="s">
        <v>74</v>
      </c>
      <c r="W37" t="s">
        <v>74</v>
      </c>
      <c r="X37" t="s">
        <v>74</v>
      </c>
      <c r="Y37" t="s">
        <v>74</v>
      </c>
      <c r="Z37" t="s">
        <v>74</v>
      </c>
      <c r="AA37" t="s">
        <v>432</v>
      </c>
      <c r="AB37" t="s">
        <v>433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434</v>
      </c>
      <c r="AP37" t="s">
        <v>74</v>
      </c>
      <c r="AQ37" t="s">
        <v>74</v>
      </c>
      <c r="AR37" t="s">
        <v>74</v>
      </c>
      <c r="AS37" t="s">
        <v>74</v>
      </c>
      <c r="AT37" t="s">
        <v>435</v>
      </c>
      <c r="AU37">
        <v>2025</v>
      </c>
      <c r="AV37">
        <v>9</v>
      </c>
      <c r="AW37">
        <v>2</v>
      </c>
      <c r="AX37" t="s">
        <v>74</v>
      </c>
      <c r="AY37" t="s">
        <v>74</v>
      </c>
      <c r="AZ37" t="s">
        <v>74</v>
      </c>
      <c r="BA37" t="s">
        <v>74</v>
      </c>
      <c r="BB37" t="s">
        <v>74</v>
      </c>
      <c r="BC37" t="s">
        <v>74</v>
      </c>
      <c r="BD37">
        <v>101789</v>
      </c>
      <c r="BE37" t="s">
        <v>436</v>
      </c>
      <c r="BF37" t="str">
        <f>HYPERLINK("http://dx.doi.org/10.1016/j.joule.2024.11.006","http://dx.doi.org/10.1016/j.joule.2024.11.006")</f>
        <v>http://dx.doi.org/10.1016/j.joule.2024.11.006</v>
      </c>
      <c r="BG37" t="s">
        <v>74</v>
      </c>
      <c r="BH37" t="s">
        <v>154</v>
      </c>
      <c r="BI37" t="s">
        <v>74</v>
      </c>
      <c r="BJ37" t="s">
        <v>74</v>
      </c>
      <c r="BK37" t="s">
        <v>74</v>
      </c>
      <c r="BL37" t="s">
        <v>74</v>
      </c>
      <c r="BM37" t="s">
        <v>74</v>
      </c>
      <c r="BN37" t="s">
        <v>74</v>
      </c>
      <c r="BO37" t="s">
        <v>74</v>
      </c>
      <c r="BP37" t="s">
        <v>74</v>
      </c>
      <c r="BQ37" t="s">
        <v>74</v>
      </c>
      <c r="BR37" t="s">
        <v>74</v>
      </c>
      <c r="BS37" t="s">
        <v>437</v>
      </c>
      <c r="BT37" t="str">
        <f>HYPERLINK("https%3A%2F%2Fwww.webofscience.com%2Fwos%2Fwoscc%2Ffull-record%2FWOS:001430976100001","View Full Record in Web of Science")</f>
        <v>View Full Record in Web of Science</v>
      </c>
    </row>
    <row r="38" spans="1:72" x14ac:dyDescent="0.15">
      <c r="A38" t="s">
        <v>72</v>
      </c>
      <c r="B38" t="s">
        <v>438</v>
      </c>
      <c r="C38" t="s">
        <v>74</v>
      </c>
      <c r="D38" t="s">
        <v>74</v>
      </c>
      <c r="E38" t="s">
        <v>74</v>
      </c>
      <c r="F38" t="s">
        <v>439</v>
      </c>
      <c r="G38" t="s">
        <v>74</v>
      </c>
      <c r="H38" t="s">
        <v>74</v>
      </c>
      <c r="I38" t="s">
        <v>440</v>
      </c>
      <c r="J38" t="s">
        <v>100</v>
      </c>
      <c r="K38" t="s">
        <v>74</v>
      </c>
      <c r="L38" t="s">
        <v>74</v>
      </c>
      <c r="M38" t="s">
        <v>74</v>
      </c>
      <c r="N38" t="s">
        <v>74</v>
      </c>
      <c r="O38" t="s">
        <v>74</v>
      </c>
      <c r="P38" t="s">
        <v>74</v>
      </c>
      <c r="Q38" t="s">
        <v>74</v>
      </c>
      <c r="R38" t="s">
        <v>74</v>
      </c>
      <c r="S38" t="s">
        <v>74</v>
      </c>
      <c r="T38" t="s">
        <v>74</v>
      </c>
      <c r="U38" t="s">
        <v>74</v>
      </c>
      <c r="V38" t="s">
        <v>74</v>
      </c>
      <c r="W38" t="s">
        <v>74</v>
      </c>
      <c r="X38" t="s">
        <v>74</v>
      </c>
      <c r="Y38" t="s">
        <v>74</v>
      </c>
      <c r="Z38" t="s">
        <v>74</v>
      </c>
      <c r="AA38" t="s">
        <v>74</v>
      </c>
      <c r="AB38" t="s">
        <v>441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102</v>
      </c>
      <c r="AP38" t="s">
        <v>103</v>
      </c>
      <c r="AQ38" t="s">
        <v>74</v>
      </c>
      <c r="AR38" t="s">
        <v>74</v>
      </c>
      <c r="AS38" t="s">
        <v>74</v>
      </c>
      <c r="AT38" t="s">
        <v>442</v>
      </c>
      <c r="AU38">
        <v>2024</v>
      </c>
      <c r="AV38">
        <v>57</v>
      </c>
      <c r="AW38">
        <v>17</v>
      </c>
      <c r="AX38" t="s">
        <v>74</v>
      </c>
      <c r="AY38" t="s">
        <v>74</v>
      </c>
      <c r="AZ38" t="s">
        <v>74</v>
      </c>
      <c r="BA38" t="s">
        <v>74</v>
      </c>
      <c r="BB38">
        <v>8487</v>
      </c>
      <c r="BC38">
        <v>8497</v>
      </c>
      <c r="BD38" t="s">
        <v>74</v>
      </c>
      <c r="BE38" t="s">
        <v>443</v>
      </c>
      <c r="BF38" t="str">
        <f>HYPERLINK("http://dx.doi.org/10.1021/acs.macromol.4c00752","http://dx.doi.org/10.1021/acs.macromol.4c00752")</f>
        <v>http://dx.doi.org/10.1021/acs.macromol.4c00752</v>
      </c>
      <c r="BG38" t="s">
        <v>74</v>
      </c>
      <c r="BH38" t="s">
        <v>371</v>
      </c>
      <c r="BI38" t="s">
        <v>74</v>
      </c>
      <c r="BJ38" t="s">
        <v>74</v>
      </c>
      <c r="BK38" t="s">
        <v>74</v>
      </c>
      <c r="BL38" t="s">
        <v>74</v>
      </c>
      <c r="BM38" t="s">
        <v>74</v>
      </c>
      <c r="BN38">
        <v>39281839</v>
      </c>
      <c r="BO38" t="s">
        <v>74</v>
      </c>
      <c r="BP38" t="s">
        <v>74</v>
      </c>
      <c r="BQ38" t="s">
        <v>74</v>
      </c>
      <c r="BR38" t="s">
        <v>74</v>
      </c>
      <c r="BS38" t="s">
        <v>444</v>
      </c>
      <c r="BT38" t="str">
        <f>HYPERLINK("https%3A%2F%2Fwww.webofscience.com%2Fwos%2Fwoscc%2Ffull-record%2FWOS:001295150500001","View Full Record in Web of Science")</f>
        <v>View Full Record in Web of Science</v>
      </c>
    </row>
    <row r="39" spans="1:72" x14ac:dyDescent="0.15">
      <c r="A39" t="s">
        <v>72</v>
      </c>
      <c r="B39" t="s">
        <v>445</v>
      </c>
      <c r="C39" t="s">
        <v>74</v>
      </c>
      <c r="D39" t="s">
        <v>74</v>
      </c>
      <c r="E39" t="s">
        <v>74</v>
      </c>
      <c r="F39" t="s">
        <v>446</v>
      </c>
      <c r="G39" t="s">
        <v>74</v>
      </c>
      <c r="H39" t="s">
        <v>74</v>
      </c>
      <c r="I39" t="s">
        <v>447</v>
      </c>
      <c r="J39" t="s">
        <v>448</v>
      </c>
      <c r="K39" t="s">
        <v>74</v>
      </c>
      <c r="L39" t="s">
        <v>74</v>
      </c>
      <c r="M39" t="s">
        <v>74</v>
      </c>
      <c r="N39" t="s">
        <v>74</v>
      </c>
      <c r="O39" t="s">
        <v>74</v>
      </c>
      <c r="P39" t="s">
        <v>74</v>
      </c>
      <c r="Q39" t="s">
        <v>74</v>
      </c>
      <c r="R39" t="s">
        <v>74</v>
      </c>
      <c r="S39" t="s">
        <v>74</v>
      </c>
      <c r="T39" t="s">
        <v>74</v>
      </c>
      <c r="U39" t="s">
        <v>74</v>
      </c>
      <c r="V39" t="s">
        <v>74</v>
      </c>
      <c r="W39" t="s">
        <v>74</v>
      </c>
      <c r="X39" t="s">
        <v>74</v>
      </c>
      <c r="Y39" t="s">
        <v>74</v>
      </c>
      <c r="Z39" t="s">
        <v>74</v>
      </c>
      <c r="AA39" t="s">
        <v>449</v>
      </c>
      <c r="AB39" t="s">
        <v>450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451</v>
      </c>
      <c r="AP39" t="s">
        <v>452</v>
      </c>
      <c r="AQ39" t="s">
        <v>74</v>
      </c>
      <c r="AR39" t="s">
        <v>74</v>
      </c>
      <c r="AS39" t="s">
        <v>74</v>
      </c>
      <c r="AT39" t="s">
        <v>115</v>
      </c>
      <c r="AU39">
        <v>2024</v>
      </c>
      <c r="AV39">
        <v>184</v>
      </c>
      <c r="AW39" t="s">
        <v>74</v>
      </c>
      <c r="AX39" t="s">
        <v>74</v>
      </c>
      <c r="AY39" t="s">
        <v>74</v>
      </c>
      <c r="AZ39" t="s">
        <v>74</v>
      </c>
      <c r="BA39" t="s">
        <v>74</v>
      </c>
      <c r="BB39" t="s">
        <v>74</v>
      </c>
      <c r="BC39" t="s">
        <v>74</v>
      </c>
      <c r="BD39">
        <v>105548</v>
      </c>
      <c r="BE39" t="s">
        <v>453</v>
      </c>
      <c r="BF39" t="str">
        <f>HYPERLINK("http://dx.doi.org/10.1016/j.jmps.2024.105548","http://dx.doi.org/10.1016/j.jmps.2024.105548")</f>
        <v>http://dx.doi.org/10.1016/j.jmps.2024.105548</v>
      </c>
      <c r="BG39" t="s">
        <v>74</v>
      </c>
      <c r="BH39" t="s">
        <v>136</v>
      </c>
      <c r="BI39" t="s">
        <v>74</v>
      </c>
      <c r="BJ39" t="s">
        <v>74</v>
      </c>
      <c r="BK39" t="s">
        <v>74</v>
      </c>
      <c r="BL39" t="s">
        <v>74</v>
      </c>
      <c r="BM39" t="s">
        <v>74</v>
      </c>
      <c r="BN39" t="s">
        <v>74</v>
      </c>
      <c r="BO39" t="s">
        <v>74</v>
      </c>
      <c r="BP39" t="s">
        <v>74</v>
      </c>
      <c r="BQ39" t="s">
        <v>74</v>
      </c>
      <c r="BR39" t="s">
        <v>74</v>
      </c>
      <c r="BS39" t="s">
        <v>454</v>
      </c>
      <c r="BT39" t="str">
        <f>HYPERLINK("https%3A%2F%2Fwww.webofscience.com%2Fwos%2Fwoscc%2Ffull-record%2FWOS:001168048400001","View Full Record in Web of Science")</f>
        <v>View Full Record in Web of Science</v>
      </c>
    </row>
    <row r="40" spans="1:72" x14ac:dyDescent="0.15">
      <c r="A40" t="s">
        <v>72</v>
      </c>
      <c r="B40" t="s">
        <v>455</v>
      </c>
      <c r="C40" t="s">
        <v>74</v>
      </c>
      <c r="D40" t="s">
        <v>74</v>
      </c>
      <c r="E40" t="s">
        <v>74</v>
      </c>
      <c r="F40" t="s">
        <v>456</v>
      </c>
      <c r="G40" t="s">
        <v>74</v>
      </c>
      <c r="H40" t="s">
        <v>74</v>
      </c>
      <c r="I40" t="s">
        <v>457</v>
      </c>
      <c r="J40" t="s">
        <v>458</v>
      </c>
      <c r="K40" t="s">
        <v>74</v>
      </c>
      <c r="L40" t="s">
        <v>74</v>
      </c>
      <c r="M40" t="s">
        <v>74</v>
      </c>
      <c r="N40" t="s">
        <v>74</v>
      </c>
      <c r="O40" t="s">
        <v>74</v>
      </c>
      <c r="P40" t="s">
        <v>74</v>
      </c>
      <c r="Q40" t="s">
        <v>74</v>
      </c>
      <c r="R40" t="s">
        <v>74</v>
      </c>
      <c r="S40" t="s">
        <v>74</v>
      </c>
      <c r="T40" t="s">
        <v>74</v>
      </c>
      <c r="U40" t="s">
        <v>74</v>
      </c>
      <c r="V40" t="s">
        <v>74</v>
      </c>
      <c r="W40" t="s">
        <v>74</v>
      </c>
      <c r="X40" t="s">
        <v>74</v>
      </c>
      <c r="Y40" t="s">
        <v>74</v>
      </c>
      <c r="Z40" t="s">
        <v>74</v>
      </c>
      <c r="AA40" t="s">
        <v>459</v>
      </c>
      <c r="AB40" t="s">
        <v>460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461</v>
      </c>
      <c r="AQ40" t="s">
        <v>74</v>
      </c>
      <c r="AR40" t="s">
        <v>74</v>
      </c>
      <c r="AS40" t="s">
        <v>74</v>
      </c>
      <c r="AT40" t="s">
        <v>462</v>
      </c>
      <c r="AU40">
        <v>2025</v>
      </c>
      <c r="AV40">
        <v>2</v>
      </c>
      <c r="AW40">
        <v>4</v>
      </c>
      <c r="AX40" t="s">
        <v>74</v>
      </c>
      <c r="AY40" t="s">
        <v>74</v>
      </c>
      <c r="AZ40" t="s">
        <v>74</v>
      </c>
      <c r="BA40" t="s">
        <v>74</v>
      </c>
      <c r="BB40">
        <v>252</v>
      </c>
      <c r="BC40">
        <v>260</v>
      </c>
      <c r="BD40" t="s">
        <v>74</v>
      </c>
      <c r="BE40" t="s">
        <v>463</v>
      </c>
      <c r="BF40" t="str">
        <f>HYPERLINK("http://dx.doi.org/10.1038/s44286-025-00205-x","http://dx.doi.org/10.1038/s44286-025-00205-x")</f>
        <v>http://dx.doi.org/10.1038/s44286-025-00205-x</v>
      </c>
      <c r="BG40" t="s">
        <v>74</v>
      </c>
      <c r="BH40" t="s">
        <v>74</v>
      </c>
      <c r="BI40" t="s">
        <v>74</v>
      </c>
      <c r="BJ40" t="s">
        <v>74</v>
      </c>
      <c r="BK40" t="s">
        <v>74</v>
      </c>
      <c r="BL40" t="s">
        <v>74</v>
      </c>
      <c r="BM40" t="s">
        <v>74</v>
      </c>
      <c r="BN40" t="s">
        <v>74</v>
      </c>
      <c r="BO40" t="s">
        <v>74</v>
      </c>
      <c r="BP40" t="s">
        <v>74</v>
      </c>
      <c r="BQ40" t="s">
        <v>74</v>
      </c>
      <c r="BR40" t="s">
        <v>74</v>
      </c>
      <c r="BS40" t="s">
        <v>464</v>
      </c>
      <c r="BT40" t="str">
        <f>HYPERLINK("https%3A%2F%2Fwww.webofscience.com%2Fwos%2Fwoscc%2Ffull-record%2FWOS:001550584900002","View Full Record in Web of Science")</f>
        <v>View Full Record in Web of Science</v>
      </c>
    </row>
    <row r="41" spans="1:72" x14ac:dyDescent="0.15">
      <c r="A41" t="s">
        <v>72</v>
      </c>
      <c r="B41" t="s">
        <v>465</v>
      </c>
      <c r="C41" t="s">
        <v>74</v>
      </c>
      <c r="D41" t="s">
        <v>74</v>
      </c>
      <c r="E41" t="s">
        <v>74</v>
      </c>
      <c r="F41" t="s">
        <v>466</v>
      </c>
      <c r="G41" t="s">
        <v>74</v>
      </c>
      <c r="H41" t="s">
        <v>74</v>
      </c>
      <c r="I41" t="s">
        <v>467</v>
      </c>
      <c r="J41" t="s">
        <v>468</v>
      </c>
      <c r="K41" t="s">
        <v>74</v>
      </c>
      <c r="L41" t="s">
        <v>74</v>
      </c>
      <c r="M41" t="s">
        <v>74</v>
      </c>
      <c r="N41" t="s">
        <v>74</v>
      </c>
      <c r="O41" t="s">
        <v>74</v>
      </c>
      <c r="P41" t="s">
        <v>74</v>
      </c>
      <c r="Q41" t="s">
        <v>74</v>
      </c>
      <c r="R41" t="s">
        <v>74</v>
      </c>
      <c r="S41" t="s">
        <v>74</v>
      </c>
      <c r="T41" t="s">
        <v>74</v>
      </c>
      <c r="U41" t="s">
        <v>74</v>
      </c>
      <c r="V41" t="s">
        <v>74</v>
      </c>
      <c r="W41" t="s">
        <v>74</v>
      </c>
      <c r="X41" t="s">
        <v>74</v>
      </c>
      <c r="Y41" t="s">
        <v>74</v>
      </c>
      <c r="Z41" t="s">
        <v>74</v>
      </c>
      <c r="AA41" t="s">
        <v>74</v>
      </c>
      <c r="AB41" t="s">
        <v>469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470</v>
      </c>
      <c r="AP41" t="s">
        <v>471</v>
      </c>
      <c r="AQ41" t="s">
        <v>74</v>
      </c>
      <c r="AR41" t="s">
        <v>74</v>
      </c>
      <c r="AS41" t="s">
        <v>74</v>
      </c>
      <c r="AT41" t="s">
        <v>472</v>
      </c>
      <c r="AU41">
        <v>2024</v>
      </c>
      <c r="AV41">
        <v>128</v>
      </c>
      <c r="AW41">
        <v>51</v>
      </c>
      <c r="AX41" t="s">
        <v>74</v>
      </c>
      <c r="AY41" t="s">
        <v>74</v>
      </c>
      <c r="AZ41" t="s">
        <v>74</v>
      </c>
      <c r="BA41" t="s">
        <v>74</v>
      </c>
      <c r="BB41">
        <v>12798</v>
      </c>
      <c r="BC41">
        <v>12807</v>
      </c>
      <c r="BD41" t="s">
        <v>74</v>
      </c>
      <c r="BE41" t="s">
        <v>473</v>
      </c>
      <c r="BF41" t="str">
        <f>HYPERLINK("http://dx.doi.org/10.1021/acs.jpcb.4c06713","http://dx.doi.org/10.1021/acs.jpcb.4c06713")</f>
        <v>http://dx.doi.org/10.1021/acs.jpcb.4c06713</v>
      </c>
      <c r="BG41" t="s">
        <v>74</v>
      </c>
      <c r="BH41" t="s">
        <v>474</v>
      </c>
      <c r="BI41" t="s">
        <v>74</v>
      </c>
      <c r="BJ41" t="s">
        <v>74</v>
      </c>
      <c r="BK41" t="s">
        <v>74</v>
      </c>
      <c r="BL41" t="s">
        <v>74</v>
      </c>
      <c r="BM41" t="s">
        <v>74</v>
      </c>
      <c r="BN41">
        <v>39663851</v>
      </c>
      <c r="BO41" t="s">
        <v>74</v>
      </c>
      <c r="BP41" t="s">
        <v>74</v>
      </c>
      <c r="BQ41" t="s">
        <v>74</v>
      </c>
      <c r="BR41" t="s">
        <v>74</v>
      </c>
      <c r="BS41" t="s">
        <v>475</v>
      </c>
      <c r="BT41" t="str">
        <f>HYPERLINK("https%3A%2F%2Fwww.webofscience.com%2Fwos%2Fwoscc%2Ffull-record%2FWOS:001376014600001","View Full Record in Web of Science")</f>
        <v>View Full Record in Web of Science</v>
      </c>
    </row>
    <row r="42" spans="1:72" x14ac:dyDescent="0.15">
      <c r="A42" t="s">
        <v>72</v>
      </c>
      <c r="B42" t="s">
        <v>476</v>
      </c>
      <c r="C42" t="s">
        <v>74</v>
      </c>
      <c r="D42" t="s">
        <v>74</v>
      </c>
      <c r="E42" t="s">
        <v>74</v>
      </c>
      <c r="F42" t="s">
        <v>477</v>
      </c>
      <c r="G42" t="s">
        <v>74</v>
      </c>
      <c r="H42" t="s">
        <v>74</v>
      </c>
      <c r="I42" t="s">
        <v>478</v>
      </c>
      <c r="J42" t="s">
        <v>479</v>
      </c>
      <c r="K42" t="s">
        <v>74</v>
      </c>
      <c r="L42" t="s">
        <v>74</v>
      </c>
      <c r="M42" t="s">
        <v>74</v>
      </c>
      <c r="N42" t="s">
        <v>74</v>
      </c>
      <c r="O42" t="s">
        <v>74</v>
      </c>
      <c r="P42" t="s">
        <v>74</v>
      </c>
      <c r="Q42" t="s">
        <v>74</v>
      </c>
      <c r="R42" t="s">
        <v>74</v>
      </c>
      <c r="S42" t="s">
        <v>74</v>
      </c>
      <c r="T42" t="s">
        <v>74</v>
      </c>
      <c r="U42" t="s">
        <v>74</v>
      </c>
      <c r="V42" t="s">
        <v>74</v>
      </c>
      <c r="W42" t="s">
        <v>74</v>
      </c>
      <c r="X42" t="s">
        <v>74</v>
      </c>
      <c r="Y42" t="s">
        <v>74</v>
      </c>
      <c r="Z42" t="s">
        <v>74</v>
      </c>
      <c r="AA42" t="s">
        <v>74</v>
      </c>
      <c r="AB42" t="s">
        <v>480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481</v>
      </c>
      <c r="AP42" t="s">
        <v>482</v>
      </c>
      <c r="AQ42" t="s">
        <v>74</v>
      </c>
      <c r="AR42" t="s">
        <v>74</v>
      </c>
      <c r="AS42" t="s">
        <v>74</v>
      </c>
      <c r="AT42" t="s">
        <v>82</v>
      </c>
      <c r="AU42">
        <v>2024</v>
      </c>
      <c r="AV42">
        <v>20</v>
      </c>
      <c r="AW42">
        <v>11</v>
      </c>
      <c r="AX42" t="s">
        <v>74</v>
      </c>
      <c r="AY42" t="s">
        <v>74</v>
      </c>
      <c r="AZ42" t="s">
        <v>74</v>
      </c>
      <c r="BA42" t="s">
        <v>74</v>
      </c>
      <c r="BB42" t="s">
        <v>74</v>
      </c>
      <c r="BC42" t="s">
        <v>74</v>
      </c>
      <c r="BD42" t="s">
        <v>483</v>
      </c>
      <c r="BE42" t="s">
        <v>484</v>
      </c>
      <c r="BF42" t="str">
        <f>HYPERLINK("http://dx.doi.org/10.1371/journal.pcbi.1012114","http://dx.doi.org/10.1371/journal.pcbi.1012114")</f>
        <v>http://dx.doi.org/10.1371/journal.pcbi.1012114</v>
      </c>
      <c r="BG42" t="s">
        <v>74</v>
      </c>
      <c r="BH42" t="s">
        <v>74</v>
      </c>
      <c r="BI42" t="s">
        <v>74</v>
      </c>
      <c r="BJ42" t="s">
        <v>74</v>
      </c>
      <c r="BK42" t="s">
        <v>74</v>
      </c>
      <c r="BL42" t="s">
        <v>74</v>
      </c>
      <c r="BM42" t="s">
        <v>74</v>
      </c>
      <c r="BN42">
        <v>39531480</v>
      </c>
      <c r="BO42" t="s">
        <v>74</v>
      </c>
      <c r="BP42" t="s">
        <v>74</v>
      </c>
      <c r="BQ42" t="s">
        <v>74</v>
      </c>
      <c r="BR42" t="s">
        <v>74</v>
      </c>
      <c r="BS42" t="s">
        <v>485</v>
      </c>
      <c r="BT42" t="str">
        <f>HYPERLINK("https%3A%2F%2Fwww.webofscience.com%2Fwos%2Fwoscc%2Ffull-record%2FWOS:001352658900001","View Full Record in Web of Science")</f>
        <v>View Full Record in Web of Science</v>
      </c>
    </row>
    <row r="43" spans="1:72" x14ac:dyDescent="0.15">
      <c r="A43" t="s">
        <v>72</v>
      </c>
      <c r="B43" t="s">
        <v>486</v>
      </c>
      <c r="C43" t="s">
        <v>74</v>
      </c>
      <c r="D43" t="s">
        <v>74</v>
      </c>
      <c r="E43" t="s">
        <v>74</v>
      </c>
      <c r="F43" t="s">
        <v>487</v>
      </c>
      <c r="G43" t="s">
        <v>74</v>
      </c>
      <c r="H43" t="s">
        <v>74</v>
      </c>
      <c r="I43" t="s">
        <v>488</v>
      </c>
      <c r="J43" t="s">
        <v>489</v>
      </c>
      <c r="K43" t="s">
        <v>74</v>
      </c>
      <c r="L43" t="s">
        <v>74</v>
      </c>
      <c r="M43" t="s">
        <v>74</v>
      </c>
      <c r="N43" t="s">
        <v>74</v>
      </c>
      <c r="O43" t="s">
        <v>74</v>
      </c>
      <c r="P43" t="s">
        <v>74</v>
      </c>
      <c r="Q43" t="s">
        <v>74</v>
      </c>
      <c r="R43" t="s">
        <v>74</v>
      </c>
      <c r="S43" t="s">
        <v>74</v>
      </c>
      <c r="T43" t="s">
        <v>74</v>
      </c>
      <c r="U43" t="s">
        <v>74</v>
      </c>
      <c r="V43" t="s">
        <v>74</v>
      </c>
      <c r="W43" t="s">
        <v>74</v>
      </c>
      <c r="X43" t="s">
        <v>74</v>
      </c>
      <c r="Y43" t="s">
        <v>74</v>
      </c>
      <c r="Z43" t="s">
        <v>74</v>
      </c>
      <c r="AA43" t="s">
        <v>74</v>
      </c>
      <c r="AB43" t="s">
        <v>74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490</v>
      </c>
      <c r="AP43" t="s">
        <v>491</v>
      </c>
      <c r="AQ43" t="s">
        <v>74</v>
      </c>
      <c r="AR43" t="s">
        <v>74</v>
      </c>
      <c r="AS43" t="s">
        <v>74</v>
      </c>
      <c r="AT43" t="s">
        <v>492</v>
      </c>
      <c r="AU43">
        <v>2026</v>
      </c>
      <c r="AV43">
        <v>148</v>
      </c>
      <c r="AW43">
        <v>16</v>
      </c>
      <c r="AX43" t="s">
        <v>74</v>
      </c>
      <c r="AY43" t="s">
        <v>74</v>
      </c>
      <c r="AZ43" t="s">
        <v>74</v>
      </c>
      <c r="BA43" t="s">
        <v>74</v>
      </c>
      <c r="BB43">
        <v>16588</v>
      </c>
      <c r="BC43">
        <v>16593</v>
      </c>
      <c r="BD43" t="s">
        <v>74</v>
      </c>
      <c r="BE43" t="s">
        <v>493</v>
      </c>
      <c r="BF43" t="str">
        <f>HYPERLINK("http://dx.doi.org/10.1021/jacs.6c00833","http://dx.doi.org/10.1021/jacs.6c00833")</f>
        <v>http://dx.doi.org/10.1021/jacs.6c00833</v>
      </c>
      <c r="BG43" t="s">
        <v>74</v>
      </c>
      <c r="BH43" t="s">
        <v>295</v>
      </c>
      <c r="BI43" t="s">
        <v>74</v>
      </c>
      <c r="BJ43" t="s">
        <v>74</v>
      </c>
      <c r="BK43" t="s">
        <v>74</v>
      </c>
      <c r="BL43" t="s">
        <v>74</v>
      </c>
      <c r="BM43" t="s">
        <v>74</v>
      </c>
      <c r="BN43">
        <v>41990218</v>
      </c>
      <c r="BO43" t="s">
        <v>74</v>
      </c>
      <c r="BP43" t="s">
        <v>74</v>
      </c>
      <c r="BQ43" t="s">
        <v>74</v>
      </c>
      <c r="BR43" t="s">
        <v>74</v>
      </c>
      <c r="BS43" t="s">
        <v>494</v>
      </c>
      <c r="BT43" t="str">
        <f>HYPERLINK("https%3A%2F%2Fwww.webofscience.com%2Fwos%2Fwoscc%2Ffull-record%2FWOS:001742376300001","View Full Record in Web of Science")</f>
        <v>View Full Record in Web of Science</v>
      </c>
    </row>
    <row r="44" spans="1:72" x14ac:dyDescent="0.15">
      <c r="A44" t="s">
        <v>72</v>
      </c>
      <c r="B44" t="s">
        <v>495</v>
      </c>
      <c r="C44" t="s">
        <v>74</v>
      </c>
      <c r="D44" t="s">
        <v>74</v>
      </c>
      <c r="E44" t="s">
        <v>74</v>
      </c>
      <c r="F44" t="s">
        <v>496</v>
      </c>
      <c r="G44" t="s">
        <v>74</v>
      </c>
      <c r="H44" t="s">
        <v>74</v>
      </c>
      <c r="I44" t="s">
        <v>497</v>
      </c>
      <c r="J44" t="s">
        <v>498</v>
      </c>
      <c r="K44" t="s">
        <v>74</v>
      </c>
      <c r="L44" t="s">
        <v>74</v>
      </c>
      <c r="M44" t="s">
        <v>74</v>
      </c>
      <c r="N44" t="s">
        <v>74</v>
      </c>
      <c r="O44" t="s">
        <v>74</v>
      </c>
      <c r="P44" t="s">
        <v>74</v>
      </c>
      <c r="Q44" t="s">
        <v>74</v>
      </c>
      <c r="R44" t="s">
        <v>74</v>
      </c>
      <c r="S44" t="s">
        <v>74</v>
      </c>
      <c r="T44" t="s">
        <v>74</v>
      </c>
      <c r="U44" t="s">
        <v>74</v>
      </c>
      <c r="V44" t="s">
        <v>74</v>
      </c>
      <c r="W44" t="s">
        <v>74</v>
      </c>
      <c r="X44" t="s">
        <v>74</v>
      </c>
      <c r="Y44" t="s">
        <v>74</v>
      </c>
      <c r="Z44" t="s">
        <v>74</v>
      </c>
      <c r="AA44" t="s">
        <v>499</v>
      </c>
      <c r="AB44" t="s">
        <v>500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501</v>
      </c>
      <c r="AP44" t="s">
        <v>502</v>
      </c>
      <c r="AQ44" t="s">
        <v>74</v>
      </c>
      <c r="AR44" t="s">
        <v>74</v>
      </c>
      <c r="AS44" t="s">
        <v>74</v>
      </c>
      <c r="AT44" t="s">
        <v>503</v>
      </c>
      <c r="AU44">
        <v>2025</v>
      </c>
      <c r="AV44">
        <v>12</v>
      </c>
      <c r="AW44">
        <v>5</v>
      </c>
      <c r="AX44" t="s">
        <v>74</v>
      </c>
      <c r="AY44" t="s">
        <v>74</v>
      </c>
      <c r="AZ44" t="s">
        <v>74</v>
      </c>
      <c r="BA44" t="s">
        <v>74</v>
      </c>
      <c r="BB44">
        <v>2630</v>
      </c>
      <c r="BC44">
        <v>2646</v>
      </c>
      <c r="BD44" t="s">
        <v>74</v>
      </c>
      <c r="BE44" t="s">
        <v>504</v>
      </c>
      <c r="BF44" t="str">
        <f>HYPERLINK("http://dx.doi.org/10.1039/d4en00940a","http://dx.doi.org/10.1039/d4en00940a")</f>
        <v>http://dx.doi.org/10.1039/d4en00940a</v>
      </c>
      <c r="BG44" t="s">
        <v>74</v>
      </c>
      <c r="BH44" t="s">
        <v>218</v>
      </c>
      <c r="BI44" t="s">
        <v>74</v>
      </c>
      <c r="BJ44" t="s">
        <v>74</v>
      </c>
      <c r="BK44" t="s">
        <v>74</v>
      </c>
      <c r="BL44" t="s">
        <v>74</v>
      </c>
      <c r="BM44" t="s">
        <v>74</v>
      </c>
      <c r="BN44" t="s">
        <v>74</v>
      </c>
      <c r="BO44" t="s">
        <v>74</v>
      </c>
      <c r="BP44" t="s">
        <v>74</v>
      </c>
      <c r="BQ44" t="s">
        <v>74</v>
      </c>
      <c r="BR44" t="s">
        <v>74</v>
      </c>
      <c r="BS44" t="s">
        <v>505</v>
      </c>
      <c r="BT44" t="str">
        <f>HYPERLINK("https%3A%2F%2Fwww.webofscience.com%2Fwos%2Fwoscc%2Ffull-record%2FWOS:001458492400001","View Full Record in Web of Science")</f>
        <v>View Full Record in Web of Science</v>
      </c>
    </row>
    <row r="45" spans="1:72" x14ac:dyDescent="0.15">
      <c r="A45" t="s">
        <v>72</v>
      </c>
      <c r="B45" t="s">
        <v>506</v>
      </c>
      <c r="C45" t="s">
        <v>74</v>
      </c>
      <c r="D45" t="s">
        <v>74</v>
      </c>
      <c r="E45" t="s">
        <v>74</v>
      </c>
      <c r="F45" t="s">
        <v>507</v>
      </c>
      <c r="G45" t="s">
        <v>74</v>
      </c>
      <c r="H45" t="s">
        <v>74</v>
      </c>
      <c r="I45" t="s">
        <v>508</v>
      </c>
      <c r="J45" t="s">
        <v>509</v>
      </c>
      <c r="K45" t="s">
        <v>74</v>
      </c>
      <c r="L45" t="s">
        <v>74</v>
      </c>
      <c r="M45" t="s">
        <v>74</v>
      </c>
      <c r="N45" t="s">
        <v>74</v>
      </c>
      <c r="O45" t="s">
        <v>74</v>
      </c>
      <c r="P45" t="s">
        <v>74</v>
      </c>
      <c r="Q45" t="s">
        <v>74</v>
      </c>
      <c r="R45" t="s">
        <v>74</v>
      </c>
      <c r="S45" t="s">
        <v>74</v>
      </c>
      <c r="T45" t="s">
        <v>74</v>
      </c>
      <c r="U45" t="s">
        <v>74</v>
      </c>
      <c r="V45" t="s">
        <v>74</v>
      </c>
      <c r="W45" t="s">
        <v>74</v>
      </c>
      <c r="X45" t="s">
        <v>74</v>
      </c>
      <c r="Y45" t="s">
        <v>74</v>
      </c>
      <c r="Z45" t="s">
        <v>74</v>
      </c>
      <c r="AA45" t="s">
        <v>510</v>
      </c>
      <c r="AB45" t="s">
        <v>74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511</v>
      </c>
      <c r="AQ45" t="s">
        <v>74</v>
      </c>
      <c r="AR45" t="s">
        <v>74</v>
      </c>
      <c r="AS45" t="s">
        <v>74</v>
      </c>
      <c r="AT45" t="s">
        <v>512</v>
      </c>
      <c r="AU45">
        <v>2026</v>
      </c>
      <c r="AV45">
        <v>4</v>
      </c>
      <c r="AW45">
        <v>3</v>
      </c>
      <c r="AX45" t="s">
        <v>74</v>
      </c>
      <c r="AY45" t="s">
        <v>74</v>
      </c>
      <c r="AZ45" t="s">
        <v>74</v>
      </c>
      <c r="BA45" t="s">
        <v>74</v>
      </c>
      <c r="BB45" t="s">
        <v>74</v>
      </c>
      <c r="BC45" t="s">
        <v>74</v>
      </c>
      <c r="BD45">
        <v>100989</v>
      </c>
      <c r="BE45" t="s">
        <v>513</v>
      </c>
      <c r="BF45" t="str">
        <f>HYPERLINK("http://dx.doi.org/10.1016/j.device.2025.100989","http://dx.doi.org/10.1016/j.device.2025.100989")</f>
        <v>http://dx.doi.org/10.1016/j.device.2025.100989</v>
      </c>
      <c r="BG45" t="s">
        <v>74</v>
      </c>
      <c r="BH45" t="s">
        <v>74</v>
      </c>
      <c r="BI45" t="s">
        <v>74</v>
      </c>
      <c r="BJ45" t="s">
        <v>74</v>
      </c>
      <c r="BK45" t="s">
        <v>74</v>
      </c>
      <c r="BL45" t="s">
        <v>74</v>
      </c>
      <c r="BM45" t="s">
        <v>74</v>
      </c>
      <c r="BN45" t="s">
        <v>74</v>
      </c>
      <c r="BO45" t="s">
        <v>74</v>
      </c>
      <c r="BP45" t="s">
        <v>74</v>
      </c>
      <c r="BQ45" t="s">
        <v>74</v>
      </c>
      <c r="BR45" t="s">
        <v>74</v>
      </c>
      <c r="BS45" t="s">
        <v>514</v>
      </c>
      <c r="BT45" t="str">
        <f>HYPERLINK("https%3A%2F%2Fwww.webofscience.com%2Fwos%2Fwoscc%2Ffull-record%2FWOS:001724484000001","View Full Record in Web of Science")</f>
        <v>View Full Record in Web of Science</v>
      </c>
    </row>
    <row r="46" spans="1:72" x14ac:dyDescent="0.15">
      <c r="A46" t="s">
        <v>72</v>
      </c>
      <c r="B46" t="s">
        <v>515</v>
      </c>
      <c r="C46" t="s">
        <v>74</v>
      </c>
      <c r="D46" t="s">
        <v>74</v>
      </c>
      <c r="E46" t="s">
        <v>74</v>
      </c>
      <c r="F46" t="s">
        <v>516</v>
      </c>
      <c r="G46" t="s">
        <v>74</v>
      </c>
      <c r="H46" t="s">
        <v>74</v>
      </c>
      <c r="I46" t="s">
        <v>517</v>
      </c>
      <c r="J46" t="s">
        <v>100</v>
      </c>
      <c r="K46" t="s">
        <v>74</v>
      </c>
      <c r="L46" t="s">
        <v>74</v>
      </c>
      <c r="M46" t="s">
        <v>74</v>
      </c>
      <c r="N46" t="s">
        <v>74</v>
      </c>
      <c r="O46" t="s">
        <v>74</v>
      </c>
      <c r="P46" t="s">
        <v>74</v>
      </c>
      <c r="Q46" t="s">
        <v>74</v>
      </c>
      <c r="R46" t="s">
        <v>74</v>
      </c>
      <c r="S46" t="s">
        <v>74</v>
      </c>
      <c r="T46" t="s">
        <v>74</v>
      </c>
      <c r="U46" t="s">
        <v>74</v>
      </c>
      <c r="V46" t="s">
        <v>74</v>
      </c>
      <c r="W46" t="s">
        <v>74</v>
      </c>
      <c r="X46" t="s">
        <v>74</v>
      </c>
      <c r="Y46" t="s">
        <v>74</v>
      </c>
      <c r="Z46" t="s">
        <v>74</v>
      </c>
      <c r="AA46" t="s">
        <v>122</v>
      </c>
      <c r="AB46" t="s">
        <v>518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102</v>
      </c>
      <c r="AP46" t="s">
        <v>103</v>
      </c>
      <c r="AQ46" t="s">
        <v>74</v>
      </c>
      <c r="AR46" t="s">
        <v>74</v>
      </c>
      <c r="AS46" t="s">
        <v>74</v>
      </c>
      <c r="AT46" t="s">
        <v>519</v>
      </c>
      <c r="AU46">
        <v>2025</v>
      </c>
      <c r="AV46">
        <v>58</v>
      </c>
      <c r="AW46">
        <v>5</v>
      </c>
      <c r="AX46" t="s">
        <v>74</v>
      </c>
      <c r="AY46" t="s">
        <v>74</v>
      </c>
      <c r="AZ46" t="s">
        <v>74</v>
      </c>
      <c r="BA46" t="s">
        <v>74</v>
      </c>
      <c r="BB46">
        <v>2412</v>
      </c>
      <c r="BC46">
        <v>2424</v>
      </c>
      <c r="BD46" t="s">
        <v>74</v>
      </c>
      <c r="BE46" t="s">
        <v>520</v>
      </c>
      <c r="BF46" t="str">
        <f>HYPERLINK("http://dx.doi.org/10.1021/acs.macromol.4c02332","http://dx.doi.org/10.1021/acs.macromol.4c02332")</f>
        <v>http://dx.doi.org/10.1021/acs.macromol.4c02332</v>
      </c>
      <c r="BG46" t="s">
        <v>74</v>
      </c>
      <c r="BH46" t="s">
        <v>154</v>
      </c>
      <c r="BI46" t="s">
        <v>74</v>
      </c>
      <c r="BJ46" t="s">
        <v>74</v>
      </c>
      <c r="BK46" t="s">
        <v>74</v>
      </c>
      <c r="BL46" t="s">
        <v>74</v>
      </c>
      <c r="BM46" t="s">
        <v>74</v>
      </c>
      <c r="BN46" t="s">
        <v>74</v>
      </c>
      <c r="BO46" t="s">
        <v>74</v>
      </c>
      <c r="BP46" t="s">
        <v>74</v>
      </c>
      <c r="BQ46" t="s">
        <v>74</v>
      </c>
      <c r="BR46" t="s">
        <v>74</v>
      </c>
      <c r="BS46" t="s">
        <v>521</v>
      </c>
      <c r="BT46" t="str">
        <f>HYPERLINK("https%3A%2F%2Fwww.webofscience.com%2Fwos%2Fwoscc%2Ffull-record%2FWOS:001435072300001","View Full Record in Web of Science")</f>
        <v>View Full Record in Web of Science</v>
      </c>
    </row>
    <row r="47" spans="1:72" x14ac:dyDescent="0.15">
      <c r="A47" t="s">
        <v>72</v>
      </c>
      <c r="B47" t="s">
        <v>522</v>
      </c>
      <c r="C47" t="s">
        <v>74</v>
      </c>
      <c r="D47" t="s">
        <v>74</v>
      </c>
      <c r="E47" t="s">
        <v>74</v>
      </c>
      <c r="F47" t="s">
        <v>523</v>
      </c>
      <c r="G47" t="s">
        <v>74</v>
      </c>
      <c r="H47" t="s">
        <v>74</v>
      </c>
      <c r="I47" t="s">
        <v>524</v>
      </c>
      <c r="J47" t="s">
        <v>245</v>
      </c>
      <c r="K47" t="s">
        <v>74</v>
      </c>
      <c r="L47" t="s">
        <v>74</v>
      </c>
      <c r="M47" t="s">
        <v>74</v>
      </c>
      <c r="N47" t="s">
        <v>74</v>
      </c>
      <c r="O47" t="s">
        <v>74</v>
      </c>
      <c r="P47" t="s">
        <v>74</v>
      </c>
      <c r="Q47" t="s">
        <v>74</v>
      </c>
      <c r="R47" t="s">
        <v>74</v>
      </c>
      <c r="S47" t="s">
        <v>74</v>
      </c>
      <c r="T47" t="s">
        <v>74</v>
      </c>
      <c r="U47" t="s">
        <v>74</v>
      </c>
      <c r="V47" t="s">
        <v>74</v>
      </c>
      <c r="W47" t="s">
        <v>74</v>
      </c>
      <c r="X47" t="s">
        <v>74</v>
      </c>
      <c r="Y47" t="s">
        <v>74</v>
      </c>
      <c r="Z47" t="s">
        <v>74</v>
      </c>
      <c r="AA47" t="s">
        <v>525</v>
      </c>
      <c r="AB47" t="s">
        <v>526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248</v>
      </c>
      <c r="AP47" t="s">
        <v>249</v>
      </c>
      <c r="AQ47" t="s">
        <v>74</v>
      </c>
      <c r="AR47" t="s">
        <v>74</v>
      </c>
      <c r="AS47" t="s">
        <v>74</v>
      </c>
      <c r="AT47" t="s">
        <v>527</v>
      </c>
      <c r="AU47">
        <v>2025</v>
      </c>
      <c r="AV47">
        <v>21</v>
      </c>
      <c r="AW47">
        <v>47</v>
      </c>
      <c r="AX47" t="s">
        <v>74</v>
      </c>
      <c r="AY47" t="s">
        <v>74</v>
      </c>
      <c r="AZ47" t="s">
        <v>74</v>
      </c>
      <c r="BA47" t="s">
        <v>74</v>
      </c>
      <c r="BB47" t="s">
        <v>74</v>
      </c>
      <c r="BC47" t="s">
        <v>74</v>
      </c>
      <c r="BD47" t="s">
        <v>74</v>
      </c>
      <c r="BE47" t="s">
        <v>528</v>
      </c>
      <c r="BF47" t="str">
        <f>HYPERLINK("http://dx.doi.org/10.1039/d5sm00619h","http://dx.doi.org/10.1039/d5sm00619h")</f>
        <v>http://dx.doi.org/10.1039/d5sm00619h</v>
      </c>
      <c r="BG47" t="s">
        <v>74</v>
      </c>
      <c r="BH47" t="s">
        <v>529</v>
      </c>
      <c r="BI47" t="s">
        <v>74</v>
      </c>
      <c r="BJ47" t="s">
        <v>74</v>
      </c>
      <c r="BK47" t="s">
        <v>74</v>
      </c>
      <c r="BL47" t="s">
        <v>74</v>
      </c>
      <c r="BM47" t="s">
        <v>74</v>
      </c>
      <c r="BN47">
        <v>41190385</v>
      </c>
      <c r="BO47" t="s">
        <v>74</v>
      </c>
      <c r="BP47" t="s">
        <v>74</v>
      </c>
      <c r="BQ47" t="s">
        <v>74</v>
      </c>
      <c r="BR47" t="s">
        <v>74</v>
      </c>
      <c r="BS47" t="s">
        <v>530</v>
      </c>
      <c r="BT47" t="str">
        <f>HYPERLINK("https%3A%2F%2Fwww.webofscience.com%2Fwos%2Fwoscc%2Ffull-record%2FWOS:001607649800001","View Full Record in Web of Science")</f>
        <v>View Full Record in Web of Science</v>
      </c>
    </row>
    <row r="48" spans="1:72" x14ac:dyDescent="0.15">
      <c r="A48" t="s">
        <v>72</v>
      </c>
      <c r="B48" t="s">
        <v>531</v>
      </c>
      <c r="C48" t="s">
        <v>74</v>
      </c>
      <c r="D48" t="s">
        <v>74</v>
      </c>
      <c r="E48" t="s">
        <v>74</v>
      </c>
      <c r="F48" t="s">
        <v>532</v>
      </c>
      <c r="G48" t="s">
        <v>74</v>
      </c>
      <c r="H48" t="s">
        <v>74</v>
      </c>
      <c r="I48" t="s">
        <v>533</v>
      </c>
      <c r="J48" t="s">
        <v>279</v>
      </c>
      <c r="K48" t="s">
        <v>74</v>
      </c>
      <c r="L48" t="s">
        <v>74</v>
      </c>
      <c r="M48" t="s">
        <v>74</v>
      </c>
      <c r="N48" t="s">
        <v>74</v>
      </c>
      <c r="O48" t="s">
        <v>74</v>
      </c>
      <c r="P48" t="s">
        <v>74</v>
      </c>
      <c r="Q48" t="s">
        <v>74</v>
      </c>
      <c r="R48" t="s">
        <v>74</v>
      </c>
      <c r="S48" t="s">
        <v>74</v>
      </c>
      <c r="T48" t="s">
        <v>74</v>
      </c>
      <c r="U48" t="s">
        <v>74</v>
      </c>
      <c r="V48" t="s">
        <v>74</v>
      </c>
      <c r="W48" t="s">
        <v>74</v>
      </c>
      <c r="X48" t="s">
        <v>74</v>
      </c>
      <c r="Y48" t="s">
        <v>74</v>
      </c>
      <c r="Z48" t="s">
        <v>74</v>
      </c>
      <c r="AA48" t="s">
        <v>534</v>
      </c>
      <c r="AB48" t="s">
        <v>535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282</v>
      </c>
      <c r="AP48" t="s">
        <v>283</v>
      </c>
      <c r="AQ48" t="s">
        <v>74</v>
      </c>
      <c r="AR48" t="s">
        <v>74</v>
      </c>
      <c r="AS48" t="s">
        <v>74</v>
      </c>
      <c r="AT48" t="s">
        <v>536</v>
      </c>
      <c r="AU48">
        <v>2024</v>
      </c>
      <c r="AV48">
        <v>36</v>
      </c>
      <c r="AW48">
        <v>19</v>
      </c>
      <c r="AX48" t="s">
        <v>74</v>
      </c>
      <c r="AY48" t="s">
        <v>74</v>
      </c>
      <c r="AZ48" t="s">
        <v>74</v>
      </c>
      <c r="BA48" t="s">
        <v>74</v>
      </c>
      <c r="BB48">
        <v>9970</v>
      </c>
      <c r="BC48">
        <v>9979</v>
      </c>
      <c r="BD48" t="s">
        <v>74</v>
      </c>
      <c r="BE48" t="s">
        <v>537</v>
      </c>
      <c r="BF48" t="str">
        <f>HYPERLINK("http://dx.doi.org/10.1021/acs.chemmater.4c02398","http://dx.doi.org/10.1021/acs.chemmater.4c02398")</f>
        <v>http://dx.doi.org/10.1021/acs.chemmater.4c02398</v>
      </c>
      <c r="BG48" t="s">
        <v>74</v>
      </c>
      <c r="BH48" t="s">
        <v>84</v>
      </c>
      <c r="BI48" t="s">
        <v>74</v>
      </c>
      <c r="BJ48" t="s">
        <v>74</v>
      </c>
      <c r="BK48" t="s">
        <v>74</v>
      </c>
      <c r="BL48" t="s">
        <v>74</v>
      </c>
      <c r="BM48" t="s">
        <v>74</v>
      </c>
      <c r="BN48" t="s">
        <v>74</v>
      </c>
      <c r="BO48" t="s">
        <v>74</v>
      </c>
      <c r="BP48" t="s">
        <v>74</v>
      </c>
      <c r="BQ48" t="s">
        <v>74</v>
      </c>
      <c r="BR48" t="s">
        <v>74</v>
      </c>
      <c r="BS48" t="s">
        <v>538</v>
      </c>
      <c r="BT48" t="str">
        <f>HYPERLINK("https%3A%2F%2Fwww.webofscience.com%2Fwos%2Fwoscc%2Ffull-record%2FWOS:001324872600001","View Full Record in Web of Science")</f>
        <v>View Full Record in Web of Science</v>
      </c>
    </row>
    <row r="49" spans="1:72" x14ac:dyDescent="0.15">
      <c r="A49" t="s">
        <v>72</v>
      </c>
      <c r="B49" t="s">
        <v>539</v>
      </c>
      <c r="C49" t="s">
        <v>74</v>
      </c>
      <c r="D49" t="s">
        <v>74</v>
      </c>
      <c r="E49" t="s">
        <v>74</v>
      </c>
      <c r="F49" t="s">
        <v>540</v>
      </c>
      <c r="G49" t="s">
        <v>74</v>
      </c>
      <c r="H49" t="s">
        <v>74</v>
      </c>
      <c r="I49" t="s">
        <v>541</v>
      </c>
      <c r="J49" t="s">
        <v>178</v>
      </c>
      <c r="K49" t="s">
        <v>74</v>
      </c>
      <c r="L49" t="s">
        <v>74</v>
      </c>
      <c r="M49" t="s">
        <v>74</v>
      </c>
      <c r="N49" t="s">
        <v>74</v>
      </c>
      <c r="O49" t="s">
        <v>74</v>
      </c>
      <c r="P49" t="s">
        <v>74</v>
      </c>
      <c r="Q49" t="s">
        <v>74</v>
      </c>
      <c r="R49" t="s">
        <v>74</v>
      </c>
      <c r="S49" t="s">
        <v>74</v>
      </c>
      <c r="T49" t="s">
        <v>74</v>
      </c>
      <c r="U49" t="s">
        <v>74</v>
      </c>
      <c r="V49" t="s">
        <v>74</v>
      </c>
      <c r="W49" t="s">
        <v>74</v>
      </c>
      <c r="X49" t="s">
        <v>74</v>
      </c>
      <c r="Y49" t="s">
        <v>74</v>
      </c>
      <c r="Z49" t="s">
        <v>74</v>
      </c>
      <c r="AA49" t="s">
        <v>542</v>
      </c>
      <c r="AB49" t="s">
        <v>543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180</v>
      </c>
      <c r="AP49" t="s">
        <v>181</v>
      </c>
      <c r="AQ49" t="s">
        <v>74</v>
      </c>
      <c r="AR49" t="s">
        <v>74</v>
      </c>
      <c r="AS49" t="s">
        <v>74</v>
      </c>
      <c r="AT49" t="s">
        <v>544</v>
      </c>
      <c r="AU49">
        <v>2024</v>
      </c>
      <c r="AV49">
        <v>291</v>
      </c>
      <c r="AW49" t="s">
        <v>74</v>
      </c>
      <c r="AX49" t="s">
        <v>74</v>
      </c>
      <c r="AY49" t="s">
        <v>74</v>
      </c>
      <c r="AZ49" t="s">
        <v>74</v>
      </c>
      <c r="BA49" t="s">
        <v>74</v>
      </c>
      <c r="BB49" t="s">
        <v>74</v>
      </c>
      <c r="BC49" t="s">
        <v>74</v>
      </c>
      <c r="BD49">
        <v>126615</v>
      </c>
      <c r="BE49" t="s">
        <v>545</v>
      </c>
      <c r="BF49" t="str">
        <f>HYPERLINK("http://dx.doi.org/10.1016/j.polymer.2023.126615","http://dx.doi.org/10.1016/j.polymer.2023.126615")</f>
        <v>http://dx.doi.org/10.1016/j.polymer.2023.126615</v>
      </c>
      <c r="BG49" t="s">
        <v>74</v>
      </c>
      <c r="BH49" t="s">
        <v>546</v>
      </c>
      <c r="BI49" t="s">
        <v>74</v>
      </c>
      <c r="BJ49" t="s">
        <v>74</v>
      </c>
      <c r="BK49" t="s">
        <v>74</v>
      </c>
      <c r="BL49" t="s">
        <v>74</v>
      </c>
      <c r="BM49" t="s">
        <v>74</v>
      </c>
      <c r="BN49" t="s">
        <v>74</v>
      </c>
      <c r="BO49" t="s">
        <v>74</v>
      </c>
      <c r="BP49" t="s">
        <v>74</v>
      </c>
      <c r="BQ49" t="s">
        <v>74</v>
      </c>
      <c r="BR49" t="s">
        <v>74</v>
      </c>
      <c r="BS49" t="s">
        <v>547</v>
      </c>
      <c r="BT49" t="str">
        <f>HYPERLINK("https%3A%2F%2Fwww.webofscience.com%2Fwos%2Fwoscc%2Ffull-record%2FWOS:001148002200001","View Full Record in Web of Science")</f>
        <v>View Full Record in Web of Science</v>
      </c>
    </row>
    <row r="50" spans="1:72" x14ac:dyDescent="0.15">
      <c r="A50" t="s">
        <v>72</v>
      </c>
      <c r="B50" t="s">
        <v>548</v>
      </c>
      <c r="C50" t="s">
        <v>74</v>
      </c>
      <c r="D50" t="s">
        <v>74</v>
      </c>
      <c r="E50" t="s">
        <v>74</v>
      </c>
      <c r="F50" t="s">
        <v>549</v>
      </c>
      <c r="G50" t="s">
        <v>74</v>
      </c>
      <c r="H50" t="s">
        <v>74</v>
      </c>
      <c r="I50" t="s">
        <v>550</v>
      </c>
      <c r="J50" t="s">
        <v>551</v>
      </c>
      <c r="K50" t="s">
        <v>74</v>
      </c>
      <c r="L50" t="s">
        <v>74</v>
      </c>
      <c r="M50" t="s">
        <v>74</v>
      </c>
      <c r="N50" t="s">
        <v>74</v>
      </c>
      <c r="O50" t="s">
        <v>74</v>
      </c>
      <c r="P50" t="s">
        <v>74</v>
      </c>
      <c r="Q50" t="s">
        <v>74</v>
      </c>
      <c r="R50" t="s">
        <v>74</v>
      </c>
      <c r="S50" t="s">
        <v>74</v>
      </c>
      <c r="T50" t="s">
        <v>74</v>
      </c>
      <c r="U50" t="s">
        <v>74</v>
      </c>
      <c r="V50" t="s">
        <v>74</v>
      </c>
      <c r="W50" t="s">
        <v>74</v>
      </c>
      <c r="X50" t="s">
        <v>74</v>
      </c>
      <c r="Y50" t="s">
        <v>74</v>
      </c>
      <c r="Z50" t="s">
        <v>74</v>
      </c>
      <c r="AA50" t="s">
        <v>552</v>
      </c>
      <c r="AB50" t="s">
        <v>553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554</v>
      </c>
      <c r="AQ50" t="s">
        <v>74</v>
      </c>
      <c r="AR50" t="s">
        <v>74</v>
      </c>
      <c r="AS50" t="s">
        <v>74</v>
      </c>
      <c r="AT50" t="s">
        <v>555</v>
      </c>
      <c r="AU50">
        <v>2025</v>
      </c>
      <c r="AV50">
        <v>5</v>
      </c>
      <c r="AW50">
        <v>6</v>
      </c>
      <c r="AX50" t="s">
        <v>74</v>
      </c>
      <c r="AY50" t="s">
        <v>74</v>
      </c>
      <c r="AZ50" t="s">
        <v>74</v>
      </c>
      <c r="BA50" t="s">
        <v>74</v>
      </c>
      <c r="BB50">
        <v>2641</v>
      </c>
      <c r="BC50">
        <v>2653</v>
      </c>
      <c r="BD50" t="s">
        <v>74</v>
      </c>
      <c r="BE50" t="s">
        <v>556</v>
      </c>
      <c r="BF50" t="str">
        <f>HYPERLINK("http://dx.doi.org/10.1021/jacsau.5c00218","http://dx.doi.org/10.1021/jacsau.5c00218")</f>
        <v>http://dx.doi.org/10.1021/jacsau.5c00218</v>
      </c>
      <c r="BG50" t="s">
        <v>74</v>
      </c>
      <c r="BH50" t="s">
        <v>331</v>
      </c>
      <c r="BI50" t="s">
        <v>74</v>
      </c>
      <c r="BJ50" t="s">
        <v>74</v>
      </c>
      <c r="BK50" t="s">
        <v>74</v>
      </c>
      <c r="BL50" t="s">
        <v>74</v>
      </c>
      <c r="BM50" t="s">
        <v>74</v>
      </c>
      <c r="BN50">
        <v>40575314</v>
      </c>
      <c r="BO50" t="s">
        <v>74</v>
      </c>
      <c r="BP50" t="s">
        <v>74</v>
      </c>
      <c r="BQ50" t="s">
        <v>74</v>
      </c>
      <c r="BR50" t="s">
        <v>74</v>
      </c>
      <c r="BS50" t="s">
        <v>557</v>
      </c>
      <c r="BT50" t="str">
        <f>HYPERLINK("https%3A%2F%2Fwww.webofscience.com%2Fwos%2Fwoscc%2Ffull-record%2FWOS:001503506600001","View Full Record in Web of Science")</f>
        <v>View Full Record in Web of Science</v>
      </c>
    </row>
    <row r="51" spans="1:72" x14ac:dyDescent="0.15">
      <c r="A51" t="s">
        <v>72</v>
      </c>
      <c r="B51" t="s">
        <v>558</v>
      </c>
      <c r="C51" t="s">
        <v>74</v>
      </c>
      <c r="D51" t="s">
        <v>74</v>
      </c>
      <c r="E51" t="s">
        <v>74</v>
      </c>
      <c r="F51" t="s">
        <v>559</v>
      </c>
      <c r="G51" t="s">
        <v>74</v>
      </c>
      <c r="H51" t="s">
        <v>74</v>
      </c>
      <c r="I51" t="s">
        <v>560</v>
      </c>
      <c r="J51" t="s">
        <v>561</v>
      </c>
      <c r="K51" t="s">
        <v>74</v>
      </c>
      <c r="L51" t="s">
        <v>74</v>
      </c>
      <c r="M51" t="s">
        <v>74</v>
      </c>
      <c r="N51" t="s">
        <v>74</v>
      </c>
      <c r="O51" t="s">
        <v>74</v>
      </c>
      <c r="P51" t="s">
        <v>74</v>
      </c>
      <c r="Q51" t="s">
        <v>74</v>
      </c>
      <c r="R51" t="s">
        <v>74</v>
      </c>
      <c r="S51" t="s">
        <v>74</v>
      </c>
      <c r="T51" t="s">
        <v>74</v>
      </c>
      <c r="U51" t="s">
        <v>74</v>
      </c>
      <c r="V51" t="s">
        <v>74</v>
      </c>
      <c r="W51" t="s">
        <v>74</v>
      </c>
      <c r="X51" t="s">
        <v>74</v>
      </c>
      <c r="Y51" t="s">
        <v>74</v>
      </c>
      <c r="Z51" t="s">
        <v>74</v>
      </c>
      <c r="AA51" t="s">
        <v>562</v>
      </c>
      <c r="AB51" t="s">
        <v>563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564</v>
      </c>
      <c r="AP51" t="s">
        <v>74</v>
      </c>
      <c r="AQ51" t="s">
        <v>74</v>
      </c>
      <c r="AR51" t="s">
        <v>74</v>
      </c>
      <c r="AS51" t="s">
        <v>74</v>
      </c>
      <c r="AT51" t="s">
        <v>565</v>
      </c>
      <c r="AU51">
        <v>2025</v>
      </c>
      <c r="AV51">
        <v>10</v>
      </c>
      <c r="AW51">
        <v>1</v>
      </c>
      <c r="AX51" t="s">
        <v>74</v>
      </c>
      <c r="AY51" t="s">
        <v>74</v>
      </c>
      <c r="AZ51" t="s">
        <v>74</v>
      </c>
      <c r="BA51" t="s">
        <v>74</v>
      </c>
      <c r="BB51">
        <v>534</v>
      </c>
      <c r="BC51">
        <v>540</v>
      </c>
      <c r="BD51" t="s">
        <v>74</v>
      </c>
      <c r="BE51" t="s">
        <v>566</v>
      </c>
      <c r="BF51" t="str">
        <f>HYPERLINK("http://dx.doi.org/10.1021/acsenergylett.4c03337","http://dx.doi.org/10.1021/acsenergylett.4c03337")</f>
        <v>http://dx.doi.org/10.1021/acsenergylett.4c03337</v>
      </c>
      <c r="BG51" t="s">
        <v>74</v>
      </c>
      <c r="BH51" t="s">
        <v>567</v>
      </c>
      <c r="BI51" t="s">
        <v>74</v>
      </c>
      <c r="BJ51" t="s">
        <v>74</v>
      </c>
      <c r="BK51" t="s">
        <v>74</v>
      </c>
      <c r="BL51" t="s">
        <v>74</v>
      </c>
      <c r="BM51" t="s">
        <v>74</v>
      </c>
      <c r="BN51" t="s">
        <v>74</v>
      </c>
      <c r="BO51" t="s">
        <v>74</v>
      </c>
      <c r="BP51" t="s">
        <v>74</v>
      </c>
      <c r="BQ51" t="s">
        <v>74</v>
      </c>
      <c r="BR51" t="s">
        <v>74</v>
      </c>
      <c r="BS51" t="s">
        <v>568</v>
      </c>
      <c r="BT51" t="str">
        <f>HYPERLINK("https%3A%2F%2Fwww.webofscience.com%2Fwos%2Fwoscc%2Ffull-record%2FWOS:001388647400001","View Full Record in Web of Science")</f>
        <v>View Full Record in Web of Science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savedrecs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Hollyer, George</cp:lastModifiedBy>
  <dcterms:created xsi:type="dcterms:W3CDTF">2026-05-29T19:48:48Z</dcterms:created>
  <dcterms:modified xsi:type="dcterms:W3CDTF">2026-05-29T19:48:48Z</dcterms:modified>
</cp:coreProperties>
</file>