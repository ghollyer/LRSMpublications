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george/Documents/PhD/Housekeeping/LRSMpublications/"/>
    </mc:Choice>
  </mc:AlternateContent>
  <xr:revisionPtr revIDLastSave="0" documentId="8_{DEF22040-72AC-2943-AB41-00096DAB6D5D}" xr6:coauthVersionLast="47" xr6:coauthVersionMax="47" xr10:uidLastSave="{00000000-0000-0000-0000-000000000000}"/>
  <bookViews>
    <workbookView xWindow="360" yWindow="780" windowWidth="14940" windowHeight="9160" xr2:uid="{2FDE035A-F4B4-8C41-81AA-A6C30D99765D}"/>
  </bookViews>
  <sheets>
    <sheet name="savedrec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F2" i="1" l="1"/>
  <c r="BT2" i="1"/>
  <c r="BF3" i="1"/>
  <c r="BT3" i="1"/>
  <c r="BF4" i="1"/>
  <c r="BT4" i="1"/>
  <c r="BF5" i="1"/>
  <c r="BT5" i="1"/>
  <c r="BF6" i="1"/>
  <c r="BT6" i="1"/>
  <c r="BF7" i="1"/>
  <c r="BT7" i="1"/>
  <c r="BF8" i="1"/>
  <c r="BT8" i="1"/>
  <c r="BF9" i="1"/>
  <c r="BT9" i="1"/>
  <c r="BF10" i="1"/>
  <c r="BT10" i="1"/>
  <c r="BF11" i="1"/>
  <c r="BT11" i="1"/>
  <c r="BF12" i="1"/>
  <c r="BT12" i="1"/>
  <c r="BF13" i="1"/>
  <c r="BT13" i="1"/>
  <c r="BF14" i="1"/>
  <c r="BT14" i="1"/>
  <c r="BF15" i="1"/>
  <c r="BT15" i="1"/>
  <c r="BF16" i="1"/>
  <c r="BT16" i="1"/>
  <c r="BF17" i="1"/>
  <c r="BT17" i="1"/>
  <c r="BF18" i="1"/>
  <c r="BT18" i="1"/>
  <c r="BF19" i="1"/>
  <c r="BT19" i="1"/>
  <c r="BF20" i="1"/>
  <c r="BT20" i="1"/>
  <c r="BF21" i="1"/>
  <c r="BT21" i="1"/>
  <c r="BF22" i="1"/>
  <c r="BT22" i="1"/>
  <c r="BF23" i="1"/>
  <c r="BT23" i="1"/>
  <c r="BF24" i="1"/>
  <c r="BT24" i="1"/>
  <c r="BF25" i="1"/>
  <c r="BT25" i="1"/>
  <c r="BF26" i="1"/>
  <c r="BT26" i="1"/>
  <c r="BF27" i="1"/>
  <c r="BT27" i="1"/>
  <c r="BF28" i="1"/>
  <c r="BT28" i="1"/>
  <c r="BF29" i="1"/>
  <c r="BT29" i="1"/>
  <c r="BF30" i="1"/>
  <c r="BT30" i="1"/>
  <c r="BF31" i="1"/>
  <c r="BT31" i="1"/>
  <c r="BF32" i="1"/>
  <c r="BT32" i="1"/>
  <c r="BF33" i="1"/>
  <c r="BT33" i="1"/>
  <c r="BF34" i="1"/>
  <c r="BT34" i="1"/>
  <c r="BF35" i="1"/>
  <c r="BT35" i="1"/>
  <c r="BF36" i="1"/>
  <c r="BT36" i="1"/>
  <c r="BF37" i="1"/>
  <c r="BT37" i="1"/>
  <c r="BF38" i="1"/>
  <c r="BT38" i="1"/>
  <c r="BF39" i="1"/>
  <c r="BT39" i="1"/>
  <c r="BF40" i="1"/>
  <c r="BT40" i="1"/>
  <c r="BF41" i="1"/>
  <c r="BT41" i="1"/>
  <c r="BF42" i="1"/>
  <c r="BT42" i="1"/>
  <c r="BF43" i="1"/>
  <c r="BT43" i="1"/>
  <c r="BF44" i="1"/>
  <c r="BT44" i="1"/>
  <c r="BF45" i="1"/>
  <c r="BT45" i="1"/>
  <c r="BF46" i="1"/>
  <c r="BT46" i="1"/>
  <c r="BF47" i="1"/>
  <c r="BT47" i="1"/>
  <c r="BF48" i="1"/>
  <c r="BT48" i="1"/>
  <c r="BF49" i="1"/>
  <c r="BT49" i="1"/>
  <c r="BF50" i="1"/>
  <c r="BT50" i="1"/>
  <c r="BF51" i="1"/>
  <c r="BT51" i="1"/>
  <c r="BF52" i="1"/>
  <c r="BT52" i="1"/>
  <c r="BF53" i="1"/>
  <c r="BT53" i="1"/>
  <c r="BF54" i="1"/>
  <c r="BT54" i="1"/>
  <c r="BF55" i="1"/>
  <c r="BT55" i="1"/>
  <c r="BF56" i="1"/>
  <c r="BT56" i="1"/>
  <c r="BF57" i="1"/>
  <c r="BT57" i="1"/>
  <c r="BF58" i="1"/>
  <c r="BT58" i="1"/>
  <c r="BF59" i="1"/>
  <c r="BT59" i="1"/>
  <c r="BF60" i="1"/>
  <c r="BT60" i="1"/>
  <c r="BF61" i="1"/>
  <c r="BT61" i="1"/>
  <c r="BF62" i="1"/>
  <c r="BT62" i="1"/>
  <c r="BF63" i="1"/>
  <c r="BT63" i="1"/>
  <c r="BF64" i="1"/>
  <c r="BT64" i="1"/>
  <c r="BF65" i="1"/>
  <c r="BT65" i="1"/>
  <c r="BF66" i="1"/>
  <c r="BT66" i="1"/>
  <c r="BF67" i="1"/>
  <c r="BT67" i="1"/>
  <c r="BF68" i="1"/>
  <c r="BT68" i="1"/>
  <c r="BF69" i="1"/>
  <c r="BT69" i="1"/>
  <c r="BF70" i="1"/>
  <c r="BT70" i="1"/>
  <c r="BF71" i="1"/>
  <c r="BT71" i="1"/>
  <c r="BF72" i="1"/>
  <c r="BT72" i="1"/>
  <c r="BF73" i="1"/>
  <c r="BT73" i="1"/>
  <c r="BF74" i="1"/>
  <c r="BT74" i="1"/>
  <c r="BF75" i="1"/>
  <c r="BT75" i="1"/>
  <c r="BF76" i="1"/>
  <c r="BT76" i="1"/>
  <c r="BF77" i="1"/>
  <c r="BT77" i="1"/>
  <c r="BF78" i="1"/>
  <c r="BT78" i="1"/>
  <c r="BF79" i="1"/>
  <c r="BT79" i="1"/>
  <c r="BF80" i="1"/>
  <c r="BT80" i="1"/>
  <c r="BF81" i="1"/>
  <c r="BT81" i="1"/>
  <c r="BF82" i="1"/>
  <c r="BT82" i="1"/>
  <c r="BF83" i="1"/>
  <c r="BT83" i="1"/>
  <c r="BF84" i="1"/>
  <c r="BT84" i="1"/>
  <c r="BF85" i="1"/>
  <c r="BT85" i="1"/>
  <c r="BF86" i="1"/>
  <c r="BT86" i="1"/>
  <c r="BF87" i="1"/>
  <c r="BT87" i="1"/>
  <c r="BF88" i="1"/>
  <c r="BT88" i="1"/>
  <c r="BF89" i="1"/>
  <c r="BT89" i="1"/>
  <c r="BF90" i="1"/>
  <c r="BT90" i="1"/>
  <c r="BF91" i="1"/>
  <c r="BT91" i="1"/>
  <c r="BF92" i="1"/>
  <c r="BT92" i="1"/>
  <c r="BF93" i="1"/>
  <c r="BT93" i="1"/>
  <c r="BF94" i="1"/>
  <c r="BT94" i="1"/>
  <c r="BF95" i="1"/>
  <c r="BT95" i="1"/>
  <c r="BF96" i="1"/>
  <c r="BT96" i="1"/>
  <c r="BF97" i="1"/>
  <c r="BT97" i="1"/>
  <c r="BF98" i="1"/>
  <c r="BT98" i="1"/>
  <c r="BF99" i="1"/>
  <c r="BT99" i="1"/>
  <c r="BF100" i="1"/>
  <c r="BT100" i="1"/>
  <c r="BF101" i="1"/>
  <c r="BT101" i="1"/>
  <c r="BF102" i="1"/>
  <c r="BT102" i="1"/>
  <c r="BF103" i="1"/>
  <c r="BT103" i="1"/>
  <c r="BF104" i="1"/>
  <c r="BT104" i="1"/>
  <c r="BF105" i="1"/>
  <c r="BT105" i="1"/>
  <c r="BF106" i="1"/>
  <c r="BT106" i="1"/>
  <c r="BF107" i="1"/>
  <c r="BT107" i="1"/>
  <c r="BF108" i="1"/>
  <c r="BT108" i="1"/>
  <c r="BF109" i="1"/>
  <c r="BT109" i="1"/>
  <c r="BF110" i="1"/>
  <c r="BT110" i="1"/>
  <c r="BF111" i="1"/>
  <c r="BT111" i="1"/>
  <c r="BF112" i="1"/>
  <c r="BT112" i="1"/>
  <c r="BF113" i="1"/>
  <c r="BT113" i="1"/>
  <c r="BF114" i="1"/>
  <c r="BT114" i="1"/>
  <c r="BF115" i="1"/>
  <c r="BT115" i="1"/>
  <c r="BF116" i="1"/>
  <c r="BT116" i="1"/>
  <c r="BF117" i="1"/>
  <c r="BT117" i="1"/>
  <c r="BF118" i="1"/>
  <c r="BT118" i="1"/>
  <c r="BF119" i="1"/>
  <c r="BT119" i="1"/>
  <c r="BF120" i="1"/>
  <c r="BT120" i="1"/>
  <c r="BF121" i="1"/>
  <c r="BT121" i="1"/>
  <c r="BF122" i="1"/>
  <c r="BT122" i="1"/>
  <c r="BF123" i="1"/>
  <c r="BT123" i="1"/>
  <c r="BF124" i="1"/>
  <c r="BT124" i="1"/>
  <c r="BF125" i="1"/>
  <c r="BT125" i="1"/>
  <c r="BF126" i="1"/>
  <c r="BT126" i="1"/>
</calcChain>
</file>

<file path=xl/sharedStrings.xml><?xml version="1.0" encoding="utf-8"?>
<sst xmlns="http://schemas.openxmlformats.org/spreadsheetml/2006/main" count="7494" uniqueCount="2669">
  <si>
    <t>Publication Type</t>
  </si>
  <si>
    <t>Authors</t>
  </si>
  <si>
    <t>Book Authors</t>
  </si>
  <si>
    <t>Book Editors</t>
  </si>
  <si>
    <t>Book Group Authors</t>
  </si>
  <si>
    <t>Author Full Names</t>
  </si>
  <si>
    <t>Book Author Full Names</t>
  </si>
  <si>
    <t>Group Authors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</si>
  <si>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</si>
  <si>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</si>
  <si>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</si>
  <si>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</si>
  <si>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</si>
  <si>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</si>
  <si>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</si>
  <si>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</si>
  <si>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</si>
  <si>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</si>
  <si>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</si>
  <si>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</si>
  <si>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</si>
  <si>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Abstract</t>
  </si>
  <si>
    <t>Addresses</t>
  </si>
  <si>
    <t>Affiliations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</si>
  <si>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</si>
  <si>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</si>
  <si>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</si>
  <si>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</si>
  <si>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</si>
  <si>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</si>
  <si>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</si>
  <si>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</si>
  <si>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</si>
  <si>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</si>
  <si>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</si>
  <si>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</si>
  <si>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</si>
  <si>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</si>
  <si>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</si>
  <si>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</si>
  <si>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</si>
  <si>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</si>
  <si>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</si>
  <si>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</si>
  <si>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</si>
  <si>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</si>
  <si>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</si>
  <si>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</si>
  <si>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</si>
  <si>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Part Number</t>
  </si>
  <si>
    <t>Supplement</t>
  </si>
  <si>
    <t>Special Issue</t>
  </si>
  <si>
    <t>Meeting Abstract</t>
  </si>
  <si>
    <t>Start Page</t>
  </si>
  <si>
    <t>End Page</t>
  </si>
  <si>
    <t>Article Number</t>
  </si>
  <si>
    <t>DOI</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</si>
  <si>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</si>
  <si>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</si>
  <si>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</si>
  <si>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</si>
  <si>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</si>
  <si>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</si>
  <si>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</si>
  <si>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</si>
  <si>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</si>
  <si>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</si>
  <si>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</si>
  <si>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</si>
  <si>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</si>
  <si>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</si>
  <si>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</si>
  <si>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J</t>
  </si>
  <si>
    <t>Ogbu, IM; Tu, CH; Fastow, E; Hinton, ZR; Winey, KI; Kozlowski, MC</t>
  </si>
  <si>
    <t/>
  </si>
  <si>
    <t>Ogbu, Ikechukwu Martin; Tu, Chien-Hua; Fastow, Eli; Hinton, Zachary R.; Winey, Karen I.; Kozlowski, Marisa C.</t>
  </si>
  <si>
    <t>N2O deconstruction of polycyclooctene to generate carbonyl-functionalized macromonomers</t>
  </si>
  <si>
    <t>POLYMER DEGRADATION AND STABILITY</t>
  </si>
  <si>
    <t>English</t>
  </si>
  <si>
    <t>Article</t>
  </si>
  <si>
    <t>Polyolefins; Deconstruction; Ketone-functionalized; Macromonomers; Polycyclooctene</t>
  </si>
  <si>
    <t>LIQUID-PHASE OXIDATION; NITROUS-OXIDE; SOLVENT-FREE; POLYETHYLENE; DEPOLYMERIZATION; KETONIZATION; PLASTICS; HYDROGENATION; GASIFICATION; REDUCTION</t>
  </si>
  <si>
    <t>Deconstruction of polyolefins into functionalized macromonomers presents a compelling strategy for polyolefin upcycling by creating macromonomers through dehydrogenation/depolymerization. We show that nitrous oxide (N2O), a greenhouse gas waste product from the production of nylon, mediates the deconstruction of polycyclooctene (PCOE) and generates carbonyl-functionalized macromonomers. Carbonyl incorporation and macromonomer molar mass were well controlled by reaction time, and subsequent hydrogenation readily removed residual carbon-carbon double bonds. We also demonstrated that the reaction could progress efficiently with substrates of moderate levels of unsaturation, closely mimicking partially dehydrogenated polyethylene. Such carbonyl-functionalized macromonomers could serve as feedstock for preparing vitrimers and other functional polymers.</t>
  </si>
  <si>
    <t>[Ogbu, Ikechukwu Martin; Kozlowski, Marisa C.] Univ Penn, Dept Chem, Roy &amp; Diana Vagelos Labs, 231 South 34th St, Philadelphia, PA 19104 USA; [Tu, Chien-Hua; Fastow, Eli; Winey, Karen I.] Univ Penn, Dept Mat Sci &amp; Engn, Philadelphia, PA 19104 USA; [Hinton, Zachary R.] Univ Delaware, Ctr Plast Innovat CPI, Newark, DE 19716 USA; [Winey, Karen I.] Univ Penn, Dept Chem &amp; Biomol Engn, Philadelphia, PA 19104 USA</t>
  </si>
  <si>
    <t>University of Pennsylvania; University of Pennsylvania; University of Delaware; University of Pennsylvania</t>
  </si>
  <si>
    <t>Kozlowski, MC (corresponding author), Univ Penn, Dept Chem, Roy &amp; Diana Vagelos Labs, 231 South 34th St, Philadelphia, PA 19104 USA.;Winey, KI (corresponding author), Univ Penn, Dept Mat Sci &amp; Engn, Philadelphia, PA 19104 USA.;Winey, KI (corresponding author), Univ Penn, Dept Chem &amp; Biomol Engn, Philadelphia, PA 19104 USA.</t>
  </si>
  <si>
    <t>winey@seas.upenn.edu; marisa@sas.upenn.edu</t>
  </si>
  <si>
    <t>Tu, Chien-Hua/GPT-4392-2022; Winey, Karen/HJH-7326-2023</t>
  </si>
  <si>
    <t>Kozlowski, Marisa/0000-0002-4225-7125; Ikechukwu, Ogbu/0000-0002-9053-7519; Fastow, Eli/0000-0003-2674-2056; Winey, Karen/0000-0001-5856-3410</t>
  </si>
  <si>
    <t>Vagelos Institute for Energy Sciences and Technology (VIEST); NSF [DMR-2309043]</t>
  </si>
  <si>
    <t>Vagelos Institute for Energy Sciences and Technology (VIEST); NSF(National Science Foundation (NSF))</t>
  </si>
  <si>
    <t>We gratefully acknowledge funding by DOE BES (DESC0022238) .The Vagelos Institute for Energy Sciences and Technology (VIEST) is also acknowledged for funding. E.J.F. and K.I.W. acknowledge the use of Dual Source and Environmental X-ray Scattering facility operated by the Laboratory for Research on the Structure of Matter at the University of Pennsylvania supported by NSF through DMR-2309043 grant. The authors also wish to acknowledge Prof. Russel Composto (University of Pennsylvania) for the use of his contact angle measurement system and Prof. Cherie Kagan for the use of her FTIR. We thank James Votruba-Drzal (University of Pennsylvania) for FTIR and DSC data collection.</t>
  </si>
  <si>
    <t>ELSEVIER SCI LTD</t>
  </si>
  <si>
    <t>London</t>
  </si>
  <si>
    <t>125 London Wall, London, ENGLAND</t>
  </si>
  <si>
    <t>0141-3910</t>
  </si>
  <si>
    <t>1873-2321</t>
  </si>
  <si>
    <t>POLYM DEGRAD STABIL</t>
  </si>
  <si>
    <t>Polym. Degrad. Stabil.</t>
  </si>
  <si>
    <t>NOV</t>
  </si>
  <si>
    <t>10.1016/j.polymdegradstab.2024.110987</t>
  </si>
  <si>
    <t>SEP 2024</t>
  </si>
  <si>
    <t>Polymer Science</t>
  </si>
  <si>
    <t>Science Citation Index Expanded (SCI-EXPANDED)</t>
  </si>
  <si>
    <t>G6C5D</t>
  </si>
  <si>
    <t>Green Submitted</t>
  </si>
  <si>
    <t>2026-05-29</t>
  </si>
  <si>
    <t>WOS:001317495400001</t>
  </si>
  <si>
    <t>Winn, A; Katifori, E</t>
  </si>
  <si>
    <t>Winn, Aaron; Katifori, Eleni</t>
  </si>
  <si>
    <t>Operating principles of peristaltic pumping through a dense array of valves</t>
  </si>
  <si>
    <t>JOURNAL OF FLUID MECHANICS</t>
  </si>
  <si>
    <t>flow-vessel interactions; peristaltic pumping; lubrication theory</t>
  </si>
  <si>
    <t>FLOW; COORDINATION</t>
  </si>
  <si>
    <t>Immersed nonlinear elements are prevalent in biological systems that require a preferential flow direction, such as the venous and the lymphatic system. We investigate here a certain class of models where the fluid is driven by peristaltic pumping and the nonlinear elements are ideal valves that completely suppress backflow. This highly nonlinear system produces discontinuous solutions that are difficult to study. We show that, as the density of valves increases, the pressure and flow are well approximated by a continuum of valves which can be analytically treated, and we demonstrate through numeric simulation that the approximation works well even for intermediate valve densities. We find that the induced flow is linear in the peristaltic amplitude for small peristaltic forces and, in the case of sinusoidal peristalsis, is independent of pumping direction. Despite the continuum approximation used, the physical valve density is accounted for by modifying the resistance of the fluid appropriately. The suppression of backflow causes a net benefit in adding valves when the valve density is low, but once the density is high enough, valves predominately suppress forward flow, suggesting there is an optimum number of valves per wavelength. The continuum model for peristaltic pumping through an array of valves presented in this work can eventually provide insights about the design and operating principles of complex flow networks with a broad class of nonlinear elements.</t>
  </si>
  <si>
    <t>[Winn, Aaron; Katifori, Eleni] Univ Penn, Dept Phys &amp; Astron, Philadelphia, PA 19104 USA; [Katifori, Eleni] Flatiron Inst, Ctr Computat Biol, New York, NY 10010 USA</t>
  </si>
  <si>
    <t>University of Pennsylvania; Simons Foundation; Flatiron Institute</t>
  </si>
  <si>
    <t>Winn, A (corresponding author), Univ Penn, Dept Phys &amp; Astron, Philadelphia, PA 19104 USA.</t>
  </si>
  <si>
    <t>winna@sas.upenn.edu</t>
  </si>
  <si>
    <t>Winn, Aaron/0000-0002-0441-9189; Katifori, Eleni/0000-0002-7332-4749</t>
  </si>
  <si>
    <t>NSF through the University of Pennsylvania Materials Research Science and Engineering Center (MRSEC) [DMR-2309043]; Simons Foundation [568888]</t>
  </si>
  <si>
    <t>NSF through the University of Pennsylvania Materials Research Science and Engineering Center (MRSEC)(National Science Foundation (NSF)); Simons Foundation(Simons Foundation)</t>
  </si>
  <si>
    <t>This research was partially supported by NSF through the University of Pennsylvania Materials Research Science and Engineering Center (MRSEC) (DMR-2309043) and the Simons Foundation (grant no. 568888).</t>
  </si>
  <si>
    <t>CAMBRIDGE UNIV PRESS</t>
  </si>
  <si>
    <t>CAMBRIDGE</t>
  </si>
  <si>
    <t>EDINBURGH BLDG, SHAFTESBURY RD, CB2 8RU CAMBRIDGE, ENGLAND</t>
  </si>
  <si>
    <t>0022-1120</t>
  </si>
  <si>
    <t>1469-7645</t>
  </si>
  <si>
    <t>J FLUID MECH</t>
  </si>
  <si>
    <t>J. Fluid Mech.</t>
  </si>
  <si>
    <t>JUL 29</t>
  </si>
  <si>
    <t>A18</t>
  </si>
  <si>
    <t>10.1017/jfm.2024.480</t>
  </si>
  <si>
    <t>Mechanics; Physics, Fluids &amp; Plasmas</t>
  </si>
  <si>
    <t>Mechanics; Physics</t>
  </si>
  <si>
    <t>ZY1I5</t>
  </si>
  <si>
    <t>Green Submitted, hybrid</t>
  </si>
  <si>
    <t>WOS:001278750300001</t>
  </si>
  <si>
    <t>Jedlinska, ZM; Riggleman, RA</t>
  </si>
  <si>
    <t>Jedlinska, Zuzanna M.; Riggleman, Robert A.</t>
  </si>
  <si>
    <t>Orthogonal Phase Separation through Associative Interactions in Polymer Blends</t>
  </si>
  <si>
    <t>MACROMOLECULES</t>
  </si>
  <si>
    <t>GEL FORMATION; STATISTICS; GELATION</t>
  </si>
  <si>
    <t>Polymer systems that form through reversible, associative interactions are an important class of materials, and these supramolecular associations drive many of the key properties. For example, self-healing materials often rely on reversible reactions that can reform a network after failure, and in biological systems, the phase separation processes underlying membraneless organelles can be driven by supramolecular associations. One feature of biological systems that is only beginning to emerge in synthetic ones is the ability to design multiple, orthogonal supramolecular interactions, where A and A' pairs mutually associate in the presence of B and B' pairs, but the cross-binding between the A and B pairs is not thermodynamically favored. In this work, we study phase separation in systems with orthogonal, reversibly associative interactions using theoretically based Langevin dynamics simulations. By tuning the affinity energy between the active, associating sites, their number, and placement along the chains, we are able to control the extent of phase separation and the dynamic properties of the resulting systems. We show that there is a large window in which phase separation between polymers with distinct stickers can emerge when the interactions are otherwise neutral. We also show how associative surfactants, a subset of chains with both A and B binding types, affect the phase behavior. We introduce cross-binding chains, carrying active sites of both types, and investigate their influence on the extent of phase separation and interfacial tension of the polymer blends.</t>
  </si>
  <si>
    <t>[Jedlinska, Zuzanna M.] Univ Penn, Dept Phys &amp; Astron, Philadelphia, PA 19104 USA; [Riggleman, Robert A.] Univ Penn, Dept Chem &amp; Biomol Engn, Philadelphia, PA 19104 USA</t>
  </si>
  <si>
    <t>University of Pennsylvania; University of Pennsylvania</t>
  </si>
  <si>
    <t>Riggleman, RA (corresponding author), Univ Penn, Dept Chem &amp; Biomol Engn, Philadelphia, PA 19104 USA.</t>
  </si>
  <si>
    <t>rrig@seas.upenn.edu</t>
  </si>
  <si>
    <t>Jedlinska, Zuzanna/0000-0001-8127-7658</t>
  </si>
  <si>
    <t>National Science Foundation [DMR-2309043]</t>
  </si>
  <si>
    <t>National Science Foundation(National Science Foundation (NSF))</t>
  </si>
  <si>
    <t>This work was primarily supported by the National Science Foundation through grant MRSEC/DMR-2309043. This work used Bridges-2 GPU at Pittsburgh Supercomputing Center and the Delta system at the National Center for Supercomputing Applications through allocation MAT23061 from the Advanced Cyberinfrastructure Coordination Ecosystem: Services &amp; Support (ACCESS) program, which is supported by National Science Foundation grants #2138259, #2138286, #2138307, #2137603, and #2138296. This research is part of the Frontera computing project at the Texas Advanced Computing Center. Frontera is made possible by a National Science Foundation award OAC-1818253. The authors acknowledge the Texas Advanced Computing Center (TACC) at the University of Texas at Austin for providing HPC resources (Lonestar6 and Vista) that have contributed to the research results reported within this paper. Z.M.J. was supported by the Frontera Computational Science Fellowships Program and the Department of Physics and Astronomy at the University of Pennsylvania. Simulations were performed using MATILDA.FT. The simulation screenshots were generated using the free version of the OVITO visualization software. Plots were generated using the Matplotlib Python module.</t>
  </si>
  <si>
    <t>AMER CHEMICAL SOC</t>
  </si>
  <si>
    <t>WASHINGTON</t>
  </si>
  <si>
    <t>1155 16TH ST, NW, WASHINGTON, DC 20036 USA</t>
  </si>
  <si>
    <t>0024-9297</t>
  </si>
  <si>
    <t>1520-5835</t>
  </si>
  <si>
    <t>Macromolecules</t>
  </si>
  <si>
    <t>DEC 9</t>
  </si>
  <si>
    <t>10.1021/acs.macromol.5c02149</t>
  </si>
  <si>
    <t>NOV 2025</t>
  </si>
  <si>
    <t>P6303</t>
  </si>
  <si>
    <t>WOS:001618589100001</t>
  </si>
  <si>
    <t>Gao, YC; Chi, YD; Patel, M; Jin, LS; Liu, JQ; Brun, P; Yang, S</t>
  </si>
  <si>
    <t>Gao, Yuchong; Chi, Yinding; Patel, Mohit; Jin, Lishuai; Liu, Jiaqi; Brun, Pierre-thomas; Yang, Shu</t>
  </si>
  <si>
    <t>Geometrically Templated Dynamic Wrinkling From Suspended Poly(vinyl alcohol) Soap Films</t>
  </si>
  <si>
    <t>ADVANCED MATERIALS INTERFACES</t>
  </si>
  <si>
    <t>curvature guided; dynamic wrinkling; geometric templating; liquid-to-solid phase transition; suspended thin polymer film</t>
  </si>
  <si>
    <t>HIGH-PERFORMANCE ELECTRONICS; THIN-FILMS; PATTERNS; SILICON</t>
  </si>
  <si>
    <t>Wrinkling is commonly observed as mechanical instability when a stiff thin film bound on a compliant thick substrate undergoes in-plane compression exceeding a threshold. Despite significant efforts to create a broad range of surface patterns via wrinkling, little has been studied about a dynamic and transient wrinkling process, where a suspended polymer thin film undergoes liquid-to-solid phase transitions. Here, a spontaneous wrinkling process is reported when drying poly(vinyl alcohol) (PVA) soap films suspended on 3D printed wireframes with near-zero or negative Gaussian curvatures. As water evaporates, a thickness gradient across the sample is developed, leading to non-uniform drying rates, and a concentration gradient between the inner and outer sides (exposed to air) of the suspended PVA soap film induces a differential osmotic pressure. Together, these effects contribute to an in-plane compressive stress, leading to the formation of surface wrinkles, whose growth is guided by the geometry of the frame. Importantly, the wrinkles evolve dynamically: the wavelength and number of the wrinkles can be tuned by altering the concentration of the PVA aqueous solutions, the initial mass, the relative humidity of the drying environment; the patterns of the resulting wrinkles can be programmed by the geometry of the wireframe.</t>
  </si>
  <si>
    <t>[Gao, Yuchong; Patel, Mohit; Jin, Lishuai; Liu, Jiaqi; Yang, Shu] Univ Penn, Dept Mat Sci &amp; Engn, Philadelphia, PA 19104 USA; [Brun, Pierre-thomas] Princeton Univ, Dept Chem &amp; Biol Engn, Princeton, NJ 08544 USA</t>
  </si>
  <si>
    <t>University of Pennsylvania; Princeton University</t>
  </si>
  <si>
    <t>Yang, S (corresponding author), Univ Penn, Dept Mat Sci &amp; Engn, Philadelphia, PA 19104 USA.</t>
  </si>
  <si>
    <t>shuyang@seas.upenn.edu</t>
  </si>
  <si>
    <t>Lishuai, Jin/NFT-1119-2025; Jin, Lishuai/U-1468-2018; Gao, Yuchong/POU-5941-2026</t>
  </si>
  <si>
    <t>Jin, Lishuai/0000-0002-6888-8179; Gao, Yuchong/0000-0001-5338-8764</t>
  </si>
  <si>
    <t>Materials Research Science and Engineering Center [DMR-2309043]; National Science Foundation Future Eco Manufacturing Research Grant [CMMI2037097]; National Science Foundation; Laboratory for Research on the Structure of Matter</t>
  </si>
  <si>
    <t>Materials Research Science and Engineering Center(National Science Foundation (NSF)); National Science Foundation Future Eco Manufacturing Research Grant; National Science Foundation(National Science Foundation (NSF)); Laboratory for Research on the Structure of Matter</t>
  </si>
  <si>
    <t>S.Y. and P.-T.B acknowledge the support from the National Science Foundation (NSF) Future Eco Manufacturing Research Grant (FMRG), # CMMI-2037097. The authors acknowledge the use of SEM instrumentation supported by NSF through the Laboratory for Research on the Structure of Matter (LRSM), University of Pennsylvania's Materials Research Science and Engineering Center (MRSEC) (DMR-2309043). The authors thank Randall Kamien for suggesting the use of 3D printed frames, and Eleni Katifori, Ian Tobasco, Anderj Ko &amp; scaron;mrlj, and Baohong Chen for helpful discussions on wrinkle formation mechanisms.</t>
  </si>
  <si>
    <t>WILEY-V C H VERLAG GMBH</t>
  </si>
  <si>
    <t>WEINHEIM</t>
  </si>
  <si>
    <t>POSTFACH 101161, 69451 WEINHEIM, GERMANY</t>
  </si>
  <si>
    <t>2196-7350</t>
  </si>
  <si>
    <t>ADV MATER INTERFACES</t>
  </si>
  <si>
    <t>Adv. Mater. Interfaces</t>
  </si>
  <si>
    <t>MAR</t>
  </si>
  <si>
    <t>10.1002/admi.202500944</t>
  </si>
  <si>
    <t>FEB 2026</t>
  </si>
  <si>
    <t>Chemistry, Multidisciplinary; Materials Science, Multidisciplinary</t>
  </si>
  <si>
    <t>Chemistry; Materials Science</t>
  </si>
  <si>
    <t>ES0VS</t>
  </si>
  <si>
    <t>Green Submitted, gold</t>
  </si>
  <si>
    <t>WOS:001694144400001</t>
  </si>
  <si>
    <t>Wang, KT; Winey, KI</t>
  </si>
  <si>
    <t>Wang, Kaitlin; Winey, Karen I.</t>
  </si>
  <si>
    <t>Vehicular and Core-Shell Nanoparticle Diffusion in Attractive Entangled Polymer Melts</t>
  </si>
  <si>
    <t>NANOCOMPOSITES; DYNAMICS; LAYER</t>
  </si>
  <si>
    <t>This work studies nanoparticle (NP) diffusion in attractive polymer melts and reveals two distinct dynamic modes: vehicular and core-shell. By diffusing alumina NPs (R-NP = 6.5 nm) and silica NPs (R-NP = 8.3 and 26.2 nm) into poly(2-vinylpyridine) melts of various molecular weights (14-1220 kDa), we examine the impact of the R-NP, polymer size (R-g), and surface chemistry on NP diffusion. Using time-of-flight secondary ion mass spectrometry and trilayer samples, we measure cross-sectional nanoparticle concentration profiles as a function of the annealing time and extract nanoparticle diffusion coefficients. Both small and large silica NPs (R-g/R-NP = 0.12-3.6) display core-shell behavior, while alumina NPs (R-g/R-NP = 0.50-4.6) diverge sharply with increasing polymer molecular weight, aligning with theoretically predicted vehicular diffusion. The transition from core-shell to vehicular diffusion is the result of both increasing molecular weight and weaker NP/polymer attractions and facilitates an estimate of the monomer desorption time.</t>
  </si>
  <si>
    <t>[Wang, Kaitlin; Winey, Karen I.] Univ Penn, Dept Mat Sci &amp; Engn, Philadelphia, PA 19104 USA; [Winey, Karen I.] Univ Penn, Dept Chem &amp; Biomol Engn, Philadelphia, PA 19104 USA</t>
  </si>
  <si>
    <t>Winey, KI (corresponding author), Univ Penn, Dept Mat Sci &amp; Engn, Philadelphia, PA 19104 USA.;Winey, KI (corresponding author), Univ Penn, Dept Chem &amp; Biomol Engn, Philadelphia, PA 19104 USA.</t>
  </si>
  <si>
    <t>winey@seas.upenn.edu</t>
  </si>
  <si>
    <t>; Winey, Karen/HJH-7326-2023</t>
  </si>
  <si>
    <t>Wang, Kaitlin/0000-0003-2459-8767; Winey, Karen/0000-0001-5856-3410</t>
  </si>
  <si>
    <t>NSF CBET [2034122]; NSF-MRSEC [DMR-2309043]; National Health and Medical Research Council (NHMRC) [2034122] Funding Source: National Health and Medical Research Council (NHMRC)</t>
  </si>
  <si>
    <t>NSF CBET(National Science Foundation (NSF)); NSF-MRSEC(National Science Foundation (NSF)NSF - Directorate for Mathematical &amp; Physical Sciences (MPS)); National Health and Medical Research Council (NHMRC)(National Health &amp; Medical Research Council (NHMRC) of Australia)</t>
  </si>
  <si>
    <t>We acknowledge funding from NSF CBET 2034122. We thank Dr. Jamie Ford at the Singh Center for Nanotechnology at the University of Pennsylvania for his expertise regarding ToF-SIMS, supported by NSF-MRSEC-DMR-2309043. We thank Roshni John Chethalen at the University of Massachusetts Amherst for providing GPC analysis. We thank Ravisara Wattana at the University of Pennsylvania for providing viscosity characterization of P2VP. We thank Dr. Eric Bailey and Dr. Will Drayer for insightful discussion.</t>
  </si>
  <si>
    <t>JUL 8</t>
  </si>
  <si>
    <t>10.1021/acs.macromol.4c00808</t>
  </si>
  <si>
    <t>JUL 2024</t>
  </si>
  <si>
    <t>ZK7W0</t>
  </si>
  <si>
    <t>WOS:001275267300001</t>
  </si>
  <si>
    <t>Fastow, E; Chethalen, RJ; Coughlin, EB; Winey, KI</t>
  </si>
  <si>
    <t>Fastow, Eli; Chethalen, Roshni John; Coughlin, E. Bryan; Winey, Karen I.</t>
  </si>
  <si>
    <t>Thiol-ene click chemistry incorporates carboxylic acid-terminated alkane pendants on polycyclooctene to tune properties</t>
  </si>
  <si>
    <t>GIANT</t>
  </si>
  <si>
    <t>Polymer upcycling; Thiol-ene click chemistry; Polycyclooctene; Associating polymer; Functionalization; Dynamic mechanical analysis</t>
  </si>
  <si>
    <t>PRECISE ACID; CONTAINING POLYETHYLENES; MORPHOLOGICAL EVOLUTION; GLASS TRANSITIONS; METHACRYLIC-ACID; COPOLYMERS; ETHYLENE; DEHYDROGENATION; DEFORMATION; POLYOLEFINS</t>
  </si>
  <si>
    <t>Dehydrogenation and subsequent chemical modification of polyolefins emerges as a promising polymerto-polymer upcycling pathway. We report the functionalization of polycyclooctene (PCOE), a model for dehydrogenated polyethylene, by thiol-ene click chemistry to install carboxylic acid (COOH) terminated alkane pendant groups. This functionalization approach attached three pendants of different alkane spacer length: thioglycolic acid, mercaptopropionic acid, and mercaptooctanoic acid. Functionalization attached pendants to 3-22 mol% of the ethylene monomeric units, was well controlled by varying reaction stoichiometry and time, and did not require acid groups protections. Greater than 95% of the COOH groups participated in secondary bonding, forming aggregates detectable in X-ray scattering at high COOH mass fractions. Crystallinity and melting temperature decreased with increasing COOH mass fraction. Dynamic mechanical analysis (DMA) reveals both COOH mass fraction and pendant architecture tunes the rubbery plateau moduli, which is well described by the molar mass per backbone bond. This functionalized polymer exhibits commensurate surface and mechanical properties to commercial poly(ethylene- co-acrylic acid).</t>
  </si>
  <si>
    <t>[Fastow, Eli; Winey, Karen I.] Univ Penn, Dept Mat Sci &amp; Engn, Philadelphia, PA 19104 USA; [Chethalen, Roshni John; Coughlin, E. Bryan] Univ Massachusetts, Dept Polymer Sci &amp; Engn, Amherst, MA 01003 USA; [Winey, Karen I.] Univ Penn, Dept Chem &amp; Biomol Engn, Philadelphia, PA 19104 USA</t>
  </si>
  <si>
    <t>University of Pennsylvania; University of Massachusetts System; University of Massachusetts Amherst; University of Pennsylvania</t>
  </si>
  <si>
    <t>Winey, KI (corresponding author), Univ Penn, Dept Mat Sci &amp; Engn, Philadelphia, PA 19104 USA.;Coughlin, EB (corresponding author), Univ Massachusetts, Dept Polymer Sci &amp; Engn, Amherst, MA 01003 USA.;Winey, KI (corresponding author), Univ Penn, Dept Chem &amp; Biomol Engn, Philadelphia, PA 19104 USA.</t>
  </si>
  <si>
    <t>coughlin@mail.pse.umass.edu; winey@seas.upenn.edu</t>
  </si>
  <si>
    <t>Winey, Karen/HJH-7326-2023; Coughlin, Edward Bryan/PKR-1846-2026</t>
  </si>
  <si>
    <t>Winey, Karen/0000-0001-5856-3410; Fastow, Eli/0000-0003-2674-2056;</t>
  </si>
  <si>
    <t>DOE BES [DESC0022238]; NSF [DMR-2309043]; Vagelos Institute of Energy Sciences and Technology</t>
  </si>
  <si>
    <t>DOE BES(United States Department of Energy (DOE)); NSF(National Science Foundation (NSF)); Vagelos Institute of Energy Sciences and Technology</t>
  </si>
  <si>
    <t>The authors gratefully acknowledge funding by DOE BES (DESC0022238) . The authors also wish to acknowledge Prof. Russ Composto for the use of his contact angle measurement system, Prof. Cherie Kagan for the use of her FTIR, Steve Szewczyk for his assistance with the DSC and DMA systems, James Votruba-Drzal for taking FTIR of EAA samples, and Dr. Weiguo Hu for assistance with acquiring NMR spectra. E.J.F. and K.I.W. acknowledge use of the Dual Source and Environmental X-ray Scattering facility operated by the Laboratory for Research on the Structure of Matter at the University of Pennsylvania supported by NSF through DMR-2309043 grant. E.J.F. acknowledges support from the Vagelos Institute of Energy Sciences and Technology in the form of a graduate fellowship.</t>
  </si>
  <si>
    <t>ELSEVIER</t>
  </si>
  <si>
    <t>AMSTERDAM</t>
  </si>
  <si>
    <t>RADARWEG 29, 1043 NX AMSTERDAM, NETHERLANDS</t>
  </si>
  <si>
    <t>2666-5425</t>
  </si>
  <si>
    <t>GIANT-AMSTERDAM</t>
  </si>
  <si>
    <t>Giant</t>
  </si>
  <si>
    <t>10.1016/j.giant.2023.100231</t>
  </si>
  <si>
    <t>JAN 2024</t>
  </si>
  <si>
    <t>Chemistry, Multidisciplinary; Materials Science, Multidisciplinary; Polymer Science</t>
  </si>
  <si>
    <t>Emerging Sources Citation Index (ESCI)</t>
  </si>
  <si>
    <t>Chemistry; Materials Science; Polymer Science</t>
  </si>
  <si>
    <t>GU9G3</t>
  </si>
  <si>
    <t>WOS:001155297400001</t>
  </si>
  <si>
    <t>Radzanowski, AN; Behbahani, HS; McCambridge, W; Gensel, C; Spence, C; Winey, KI; Coughlin, EB</t>
  </si>
  <si>
    <t>Radzanowski, Anne N.; Behbahani, Hoda Shokrollahzadeh; McCambridge, William; Gensel, Clay; Spence, Catherine; Winey, Karen I.; Coughlin, E. Bryan</t>
  </si>
  <si>
    <t>Polyhalohydrins: Investigating Vicinal Functionalities by Ring-Opening of Epoxides on Polyolefins</t>
  </si>
  <si>
    <t>POLY(ETHYLENE-CO-VINYL ALCOHOL); HALOHYDRIN DEHALOGENASE; PLASMA TREATMENT; SURFACE; POLYETHYLENE; EPOXIDATION; POLYMER; POLYBUTADIENE; COPOLYMERS; RUBBER</t>
  </si>
  <si>
    <t>Halohydrins are functional groups that are underexplored in polymer science. This study synthesized and examined structure-property relationships of halohydrin-functionalized polymers derived from polycyclooctene (PCOE), which was obtained via ring-opening metathesis polymerization (ROMP). The polyhalohydrins, including polychlorohydrin, polybromohydrin, and polyiodohydrin, were produced through a two-step process involving epoxidation of PCOE followed by epoxide ring-opening using hydrochloric, hydrobromic, or hydroiodic acid. These stereoirregular and regioirregular polymers are amorphous as measured by differential scanning calorimetry and X-ray scattering. Lap joint shear testing revealed an enhanced adhesive performance in polychlorohydrin and polybromohydrin, with the former demonstrating nearly three times the ultimate shear stress compared to a model polyethylene, hydrogenated PCOE. Additionally, contact angle measurements and surface free energy analysis showed an increase in hydrophilicity and polarity from iodine- to bromine- to chlorine-functionalized polyhalohydrins, aligning with trends in adhesion strength. These results underscore the potential of halohydrin functionalization as a versatile approach for tuning surface properties, offering new opportunities for polymer-to-polymer transformations.</t>
  </si>
  <si>
    <t>[Radzanowski, Anne N.; Gensel, Clay; Spence, Catherine; Coughlin, E. Bryan] Univ Massachusetts, Dept Polymer Sci &amp; Engn, Amherst, MA 01003 USA; [Behbahani, Hoda Shokrollahzadeh; McCambridge, William; Winey, Karen I.] Univ Penn, Dept Mat Sci &amp; Engn, Philadelphia, PA 19104 USA; [Winey, Karen I.] Univ Penn, Dept Chem &amp; Biomol Engn, Philadelphia, PA 19104 USA</t>
  </si>
  <si>
    <t>University of Massachusetts System; University of Massachusetts Amherst; University of Pennsylvania; University of Pennsylvania</t>
  </si>
  <si>
    <t>Coughlin, EB (corresponding author), Univ Massachusetts, Dept Polymer Sci &amp; Engn, Amherst, MA 01003 USA.;Winey, KI (corresponding author), Univ Penn, Dept Mat Sci &amp; Engn, Philadelphia, PA 19104 USA.;Winey, KI (corresponding author), Univ Penn, Dept Chem &amp; Biomol Engn, Philadelphia, PA 19104 USA.</t>
  </si>
  <si>
    <t>Winey@seas.upenn.edu; ebc@umass.edu</t>
  </si>
  <si>
    <t>; Winey, Karen/HJH-7326-2023; Coughlin, Edward Bryan/PKR-1846-2026</t>
  </si>
  <si>
    <t>Coughlin, E Bryan/0000-0001-7065-4366; Winey, Karen/0000-0001-5856-3410; McCambridge, William/0009-0006-3150-6807; Radzanowski, Anne/0000-0001-6453-3103;</t>
  </si>
  <si>
    <t>Division of Materials Research [DESC0022238]; DOE BES [DMR-2309043]; NSF</t>
  </si>
  <si>
    <t>Division of Materials Research(National Science Foundation (NSF)NSF - Directorate for Mathematical &amp; Physical Sciences (MPS)); DOE BES(United States Department of Energy (DOE)); NSF(National Science Foundation (NSF))</t>
  </si>
  <si>
    <t>The authors gratefully acknowledge funding by DOE BES (DESC0022238). The authors also wish to acknowledge Eli Fastow for his assistance with X-ray scattering. H.S.B. and K.I.W. acknowledge the use of the Dual Source and Environmental X-ray Scattering facility operated by the Laboratory for Research on the Structure of Matter at the University of Pennsylvania supported by the NSF through the DMR-2309043 grant.</t>
  </si>
  <si>
    <t>SEP 23</t>
  </si>
  <si>
    <t>10.1021/acs.macromol.5c01830</t>
  </si>
  <si>
    <t>SEP 2025</t>
  </si>
  <si>
    <t>7QJ7R</t>
  </si>
  <si>
    <t>WOS:001571605100001</t>
  </si>
  <si>
    <t>Radzanowski, AN; Fastow, EJ; Tu, CH; Votruba-Drzal, J; Nair, V; Winey, KI; Coughlin, EB</t>
  </si>
  <si>
    <t>Radzanowski, Anne N.; Fastow, Eli J.; Tu, Chien-Hua; Votruba-Drzal, James; Nair, Vivek; Winey, Karen I.; Coughlin, E. Bryan</t>
  </si>
  <si>
    <t>Impact of Hydroxyl Functionalization and Unsaturation on Linear Poly(ethylene-co-vinyl alcohol)</t>
  </si>
  <si>
    <t>OXYGEN PERMEABILITY; BARRIER PROPERTIES; MOLECULAR-WEIGHT; FREE-VOLUME; ETHYLENE; COPOLYMERS; ACID; HYDROGENATION; TRANSITION; MORPHOLOGY</t>
  </si>
  <si>
    <t>Functionalization of C=C in unsaturated polyolefins by hydroboration/oxidation successfully generates linear poly(ethylene-co-vinyl alcohol) (LEVOH) polymers. This postpolymerization modification expands upon previously reported chemistry to control the extent of functionalization through reagent stoichiometry. Partial functionalization (24-92% of C=C) of polycyclooctene produces materials with both C=C in the backbone and pendant OH and subsequent hydrogenation generate a LEVOH. We explore the thermal, structural, surface, and adhesive properties of these LEVOH and the partially unsaturated intermediate and find they are impacted by both the extent of OH incorporation and saturation. The presence of C=C significantly reduces the melting temperature and crystallinity while increasing surface polarity and adhesive strength compared with saturated polymers at equivalent functionalization. This investigation demonstrates linear analogs of EVOH with a wide range of properties tuned by extent of hydroxylation and presence of unsaturation.</t>
  </si>
  <si>
    <t>[Radzanowski, Anne N.; Coughlin, E. Bryan] Univ Massachusetts Amherst, Dept Polymer Sci &amp; Engn, Amherst, MA 01003 USA; [Fastow, Eli J.; Tu, Chien-Hua; Votruba-Drzal, James; Nair, Vivek; Winey, Karen I.] Univ Penn, Dept Mat Sci &amp; Engn, Philadelphia, PA 19104 USA; [Winey, Karen I.] Univ Penn, Dept Chem &amp; Biomol Engn, Philadelphia, PA 19104 USA</t>
  </si>
  <si>
    <t>Coughlin, EB (corresponding author), Univ Massachusetts Amherst, Dept Polymer Sci &amp; Engn, Amherst, MA 01003 USA.;Winey, KI (corresponding author), Univ Penn, Dept Mat Sci &amp; Engn, Philadelphia, PA 19104 USA.;Winey, KI (corresponding author), Univ Penn, Dept Chem &amp; Biomol Engn, Philadelphia, PA 19104 USA.</t>
  </si>
  <si>
    <t>Winey@seas.upenn.edu; Coughlin@mail.pse.umass.edu</t>
  </si>
  <si>
    <t>Coughlin, Edward Bryan/PKR-1846-2026; Winey, Karen/HJH-7326-2023; Tu, Chien-Hua/GPT-4392-2022</t>
  </si>
  <si>
    <t>Nair, Vivek/0009-0002-0858-3565; Coughlin, E Bryan/0000-0001-7065-4366; Radzanowski, Anne/0000-0001-6453-3103; , James Votruba-zal/0009-0007-7048-9445; Fastow, Eli/0000-0003-2674-2056; Winey, Karen/0000-0001-5856-3410; Tu, Chien-Hua/0000-0002-8351-7130</t>
  </si>
  <si>
    <t>Basic Energy Sciences [DESC0022238]; DOE BES [DMR-2309043]; NSF; Vagelos Institute of Energy Sciences and Technology</t>
  </si>
  <si>
    <t>Basic Energy Sciences(United States Department of Energy (DOE)); DOE BES(United States Department of Energy (DOE)); NSF(National Science Foundation (NSF)); Vagelos Institute of Energy Sciences and Technology</t>
  </si>
  <si>
    <t>The authors gratefully acknowledge funding by DOE BES (DESC0022238). The authors also wish to acknowledge Steve Szewczyk for his assistance with the DSC system and Dr. Weiguo Hu for his assistance with the NMR measurements. E.J.F. and K.I.W. acknowledge use of the Dual Source and Environmental X-ray Scattering facility operated by the Laboratory for Research on the Structure of Matter at the University of Pennsylvania supported by NSF through DMR-2309043 grant. E.J.F. acknowledges support from the Vagelos Institute of Energy Sciences and Technology in the form of a graduate fellowship.</t>
  </si>
  <si>
    <t>FEB 24</t>
  </si>
  <si>
    <t>10.1021/acs.macromol.4c02575</t>
  </si>
  <si>
    <t>FEB 2025</t>
  </si>
  <si>
    <t>Z9I5Q</t>
  </si>
  <si>
    <t>WOS:001432835700001</t>
  </si>
  <si>
    <t>Tu, WJ; Theisen, RQ; Jin, PF; Chenoweth, DM; Patel, AJ; Good, MC</t>
  </si>
  <si>
    <t>Tu, Wangjie; Theisen, Rachel Q.; Jin, Pengfei; Chenoweth, David M.; Patel, Amish J.; Good, Matthew C.</t>
  </si>
  <si>
    <t>Delivery of peptide coacervates to form stable interaction hubs in cells</t>
  </si>
  <si>
    <t>NATURE COMMUNICATIONS</t>
  </si>
  <si>
    <t>PENETRATING PEPTIDES; PHASE; PRINCIPLES; PROTEINS; SCAFFOLD</t>
  </si>
  <si>
    <t>Cells contain membrane-bound and membraneless organelles that operate as spatially distinct biochemical niches. However, these reaction centers lose fidelity due to aging or diseases. A grand challenge for biomedicine is restoring or augmenting cellular functionalities. An excited strategy is the delivery of protein-based materials that can directly interact with cellular biological networks. In this study, we sought to develop long-lasting materials capable of cellular uptake, akin to intracellular interaction hubs. We develop a delivery method to efficiently transplant stable micron-size peptide-based compartments into living cells. By loading coacervates with nanobodies and bioPROTACs, we demonstrate successful target sequestration of natively expressed GFP to our synthetic hubs, and function as bioreactors to selectively degrade GFP inside human cells. These results represent an important step toward the development of synthetic organelles that can be fabricated in vitro and taken up by cells for applications in cell engineering and regenerative medicine.</t>
  </si>
  <si>
    <t>[Tu, Wangjie; Good, Matthew C.] Univ Penn, Bioengn Grad Grp, Philadelphia, PA 19104 USA; [Theisen, Rachel Q.; Good, Matthew C.] Univ Penn, Dept Cell &amp; Dev Biol, Philadelphia, PA 19104 USA; [Jin, Pengfei; Chenoweth, David M.] Univ Penn, Chem Grad Grp, Philadelphia, PA USA; [Chenoweth, David M.] Univ Penn, Dept Chem, Philadelphia, PA USA; [Patel, Amish J.] Univ Penn, Chem &amp; Biomol Engn Dept, Philadelphia, PA 19104 USA; [Good, Matthew C.] Univ Penn, Dept Bioengn, Philadelphia, PA 19104 USA</t>
  </si>
  <si>
    <t>University of Pennsylvania; University of Pennsylvania; University of Pennsylvania; University of Pennsylvania; University of Pennsylvania; University of Pennsylvania</t>
  </si>
  <si>
    <t>Good, MC (corresponding author), Univ Penn, Bioengn Grad Grp, Philadelphia, PA 19104 USA.;Good, MC (corresponding author), Univ Penn, Dept Cell &amp; Dev Biol, Philadelphia, PA 19104 USA.;Good, MC (corresponding author), Univ Penn, Dept Bioengn, Philadelphia, PA 19104 USA.</t>
  </si>
  <si>
    <t>mattgood@pennmedicine.upenn.edu</t>
  </si>
  <si>
    <t>; Good, Matthew/GLS-0964-2022</t>
  </si>
  <si>
    <t>Tu, Wangjie/0009-0007-5741-2021; Jin, Pengfei/0000-0002-7723-3051;</t>
  </si>
  <si>
    <t>U.S. Department of Health &amp; Human Services | NIH | National Institute of Biomedical Imaging and Bioengineering (NIBIB) [EB028320]; National Science Foundation (NSF) [DMR-2309043]</t>
  </si>
  <si>
    <t>U.S. Department of Health &amp; Human Services | NIH | National Institute of Biomedical Imaging and Bioengineering (NIBIB); National Science Foundation (NSF)(National Science Foundation (NSF))</t>
  </si>
  <si>
    <t>We thank A. Stout and the Penn CDB Microscopy Core for imaging support, M. Wadley for human primary monocytes cell culture, and W. Wentao for FACS for GFP cell line generation. We thank Emily Cento, Zhilin Chen, Max A. Eldabbas, and Emileigh Maddox of the Human Immunology Core and the Division of Transfusion Medicine and Therapeutic Pathology at the Perelman School of Medicine at the University of Pennsylvania for providing de-identified, primary human monocytes that were purified from healthy donor apheresis using StemCell RosetteSep (TM) kits. The HIC is supported in part by NIH P30 AI045008 and P30 CA016520. This study was partially supported by the National Institute of Biomedical Imaging and Bioengineering grant, EB028320 (M.C.G.), by National Science Foundation through the University of Pennsylvania Materials Research Science and Engineering Center (MRSEC) (DMR-2309043), and a seed award from the Center for Precision Engineering for Health (CPE4H) at the University of Pennsylvania (M.C.G., A.J.P.).</t>
  </si>
  <si>
    <t>NATURE PORTFOLIO</t>
  </si>
  <si>
    <t>BERLIN</t>
  </si>
  <si>
    <t>HEIDELBERGER PLATZ 3, BERLIN, 14197, GERMANY</t>
  </si>
  <si>
    <t>2041-1723</t>
  </si>
  <si>
    <t>NAT COMMUN</t>
  </si>
  <si>
    <t>Nat. Commun.</t>
  </si>
  <si>
    <t>FEB 2</t>
  </si>
  <si>
    <t>10.1038/s41467-026-68793-7</t>
  </si>
  <si>
    <t>Multidisciplinary Sciences</t>
  </si>
  <si>
    <t>Science &amp; Technology - Other Topics</t>
  </si>
  <si>
    <t>FB5RM</t>
  </si>
  <si>
    <t>WOS:001714836900008</t>
  </si>
  <si>
    <t>Ogbu, IM; Fastow, EJ; Zhu, WH; Wells, LA; Chethalen, RJ; Nair, V; Hinton, ZR; Balzer, AH; Hu, WG; Coughlin, EB; Winey, KI; Kozlowski, MC</t>
  </si>
  <si>
    <t>Ogbu, Ikechukwu Martin; Fastow, Eli J.; Zhu, Weihao; Wells, Lucille A.; Chethalen, Roshni J.; Nair, Vivek; Hinton, Zachary R.; Balzer, Alex H.; Hu, Weiguo; Coughlin, E. Bryan; Winey, Karen I.; Kozlowski, Marisa C.</t>
  </si>
  <si>
    <t>Hydrocarboxylation of C=C Bonds in Polycyclooctene: Progress Toward Valorization of Waste Polyolefins</t>
  </si>
  <si>
    <t>CATALYTIC HYDROCARBOXYLATION; POLYCARBOXYLIC ACIDS; PALLADIUM CATALYST; POST-MODIFICATION; ETHYLENE; POLYETHYLENE; COPOLYMERS; HYDROXYCARBONYLATION; HYDROESTERIFICATION; DEHYDROGENATION</t>
  </si>
  <si>
    <t>Upcycling of waste polyolefins into higher-value functional polymers through chemical functionalization is a promising strategy to recover value and minimize their environmental impact. We report the hydrocarboxylation of polycyclooctene as a model for accessing ethylene acrylic acid copolymers (EAA) from waste polyethylene. The effects of various process parameters on the hydrocarboxylation were investigated. The relationship between carboxylic acid concentration and material properties, including crystallinity, melting temperature, glass transition temperature, adhesive properties, and wettability, was studied in comparison to an unfunctionalized polyethylene. Among the catalysts evaluated, Co-2(CO)(8) exhibited relatively slow kinetics toward the hydrocarboxylation and was not compatible with 2,6-di-tert-butyl hydroxytoluene, a common additive present in commercial polyolefins. PdCl2(PPh3)(2) exhibited a higher reactivity toward the hydrocarboxylation, though polymer gelation was observed with extended reaction times or high catalyst loadings. Carboxylic acid incorporation into the polymer was readily controlled by varying the reaction time. Overall, the resultant COOH-functionalized polyolefins possessed properties analogous to commercial EAA.</t>
  </si>
  <si>
    <t>[Ogbu, Ikechukwu Martin; Zhu, Weihao; Wells, Lucille A.; Kozlowski, Marisa C.] Univ Penn, Dept Chem, Roy &amp; Diana Vagelos Labs, Philadelphia, PA 19104 USA; [Fastow, Eli J.; Nair, Vivek; Winey, Karen I.] Univ Penn, Dept Mat Sci &amp; Engn, Philadelphia, PA 19104 USA; [Chethalen, Roshni J.; Hu, Weiguo; Coughlin, E. Bryan] Univ Massachusetts Amherst, Dept Polymer Sci &amp; Engn, Amherst, MA 01003 USA; [Hinton, Zachary R.; Balzer, Alex H.] Univ Delaware, Ctr Plast Innovat CPI, Newark, DE 19716 USA; [Winey, Karen I.] Univ Penn, Dept Chem &amp; Biomol Engn, Philadelphia, PA 19104 USA</t>
  </si>
  <si>
    <t>University of Pennsylvania; University of Pennsylvania; University of Massachusetts System; University of Massachusetts Amherst; University of Delaware; University of Pennsylvania</t>
  </si>
  <si>
    <t>Kozlowski, MC (corresponding author), Univ Penn, Dept Chem, Roy &amp; Diana Vagelos Labs, Philadelphia, PA 19104 USA.;Winey, KI (corresponding author), Univ Penn, Dept Mat Sci &amp; Engn, Philadelphia, PA 19104 USA.;Winey, KI (corresponding author), Univ Penn, Dept Chem &amp; Biomol Engn, Philadelphia, PA 19104 USA.</t>
  </si>
  <si>
    <t>Zhu, Weihao/MGW-2190-2025; Winey, Karen/HJH-7326-2023; Coughlin, Edward Bryan/PKR-1846-2026</t>
  </si>
  <si>
    <t>Zhu, Weihao/0000-0001-7746-3722; Fastow, Eli/0000-0003-2674-2056; Ikechukwu, Ogbu/0000-0002-9053-7519; Nair, Vivek/0009-0002-0858-3565; Balzer, Alex/0000-0002-3071-4085; Kozlowski, Marisa/0000-0002-4225-7125;</t>
  </si>
  <si>
    <t>Division of Materials Research [DESC0022238]; DOE BES; Vagelos Institute for Energy Sciences and Technology (VIEST) [DMR-2309043]; NSF</t>
  </si>
  <si>
    <t>Division of Materials Research(National Science Foundation (NSF)NSF - Directorate for Mathematical &amp; Physical Sciences (MPS)); DOE BES(United States Department of Energy (DOE)); Vagelos Institute for Energy Sciences and Technology (VIEST); NSF(National Science Foundation (NSF))</t>
  </si>
  <si>
    <t>We gratefully acknowledge funding by DOE BES (DESC0022238). The Vagelos Institute for Energy Sciences and Technology (VIEST) is also acknowledged for funding. E.J.F. and K.I.W. acknowledge the use of Dual Source and Environmental X-ray Scattering facility operated by the Laboratory for Research on the Structure of Matter at the University of Pennsylvania supported by NSF through DMR-2309043 grant. The authors also wish to acknowledge Prof. Russell Composto (UPenn) for the use of his contact angle measurement system and Prof. Cherie Kagan (UPenn) for the use of her FTIR.</t>
  </si>
  <si>
    <t>JUN 4</t>
  </si>
  <si>
    <t>10.1021/acs.macromol.4c00771</t>
  </si>
  <si>
    <t>JUN 2024</t>
  </si>
  <si>
    <t>WH9L0</t>
  </si>
  <si>
    <t>WOS:001239418900001</t>
  </si>
  <si>
    <t>Dutta, TT; Suprewicz, L; Mollenkopf, P; Shi, XC; Hoole, L; Tang, JX; Janmey, PA</t>
  </si>
  <si>
    <t>Dutta, Thomas T.; Suprewicz, Lukasz; Mollenkopf, Paul; Shi, Xuechen; Hoole, Linn; Tang, Jay X.; Janmey, Paul A.</t>
  </si>
  <si>
    <t>Mechanical strain modulates enzymatic remodeling of fibrin networks</t>
  </si>
  <si>
    <t>POLYMER</t>
  </si>
  <si>
    <t>Fibrin; Shear strain; Plasmin; Factor XIII; Enzyme activity; Rheology</t>
  </si>
  <si>
    <t>VISCOELASTIC PROPERTIES; FACTOR-XIII; PURIFICATION; OLIGOMERS; KINETICS; MATRICES; COLLAGEN; PLASMA; CELLS; SHEAR</t>
  </si>
  <si>
    <t>Mechanical forces are increasingly recognized as key regulators of protein structure and enzymatic activity in biological materials. Here, we investigate how mechanical strain modulates the activity of factor XIIIa-mediated crosslinking and plasmin-mediated proteolysis of fibrous networks formed by the semiflexible biopolymer fibrin. Using shear rheology, turbidity measurements, confocal imaging, and gel electrophoresis, we show that fibrin fiber networks subjected to volume-conserving shear strain during polymerization undergo significant alignment and strain stiffening. These mechanical deformations enhance the exposure of binding sites within the fibrin network, leading to increased enzymatic reactivity. Specifically, the activity of the transglutaminase Factor XIIIa is elevated in strained gels, correlating with greater covalent bond formation between adjacent fibrin subunits. Likewise, plasmin-mediated proteolysis of fibrin proceeds more rapidly in strained gels, particularly in loadbearing fibers responsible for mechanical stiffness. Our findings reveal that fibrin is a mechanoresponsive substrate whose biochemical remodeling is strongly influenced by its mechanical environment.</t>
  </si>
  <si>
    <t>[Dutta, Thomas T.; Suprewicz, Lukasz; Mollenkopf, Paul; Shi, Xuechen; Hoole, Linn; Janmey, Paul A.] Univ Penn, Dept Physiol, Philadelphia, PA 19104 USA; [Dutta, Thomas T.; Tang, Jay X.] Brown Univ, Dept Phys, Providence, RI USA</t>
  </si>
  <si>
    <t>University of Pennsylvania; Brown University</t>
  </si>
  <si>
    <t>Janmey, PA (corresponding author), Univ Penn, Dept Physiol, Philadelphia, PA 19104 USA.</t>
  </si>
  <si>
    <t>janmey@pennmedicine.upenn.edu</t>
  </si>
  <si>
    <t>, Paul/0000-0003-4653-1643; Suprewicz, Łukasz/0000-0001-6666-9688; Tang, Jay/0000-0002-1022-4337</t>
  </si>
  <si>
    <t>US National Science Foundation (NSF) [DMR-2309043, CMMI-1548571]</t>
  </si>
  <si>
    <t>US National Science Foundation (NSF)(National Science Foundation (NSF))</t>
  </si>
  <si>
    <t>Funding This work was supported by the US National Science Foundation (NSF) [grant numbers: DMR-2309043 and CMMI-1548571] .</t>
  </si>
  <si>
    <t>0032-3861</t>
  </si>
  <si>
    <t>1873-2291</t>
  </si>
  <si>
    <t>Polymer</t>
  </si>
  <si>
    <t>OCT 13</t>
  </si>
  <si>
    <t>10.1016/j.polymer.2025.128860</t>
  </si>
  <si>
    <t>JUL 2025</t>
  </si>
  <si>
    <t>5TE3V</t>
  </si>
  <si>
    <t>hybrid</t>
  </si>
  <si>
    <t>WOS:001543740000001</t>
  </si>
  <si>
    <t>Pande, SS; Fulco, S; Turner, KT</t>
  </si>
  <si>
    <t>Pande, Sumukh S.; Fulco, Sage; Turner, Kevin T.</t>
  </si>
  <si>
    <t>Mechanics-Based Optimization of Shear Lap Joints for Enhanced Force Capacity</t>
  </si>
  <si>
    <t>ACS APPLIED ENGINEERING MATERIALS</t>
  </si>
  <si>
    <t>geometric optimization; single lap joints; adhesion; neural networks; fracture</t>
  </si>
  <si>
    <t>STRENGTH; FRACTURE; TOUGHNESS; DESIGN</t>
  </si>
  <si>
    <t>Bonded single lap joints are used to join structural components in automotive, aerospace, and other engineered systems. The stresses in the joint are nonuniform, and high stresses near the edge typically limit the force capacity of the joint. Here, we optimize the design of the adherend geometry to improve the stress uniformity at the interface and enhance the force capacity. Through the use of machine learning and mechanics-based finite element analysis, we quantify the functional relationship between the geometry of the adherend and the variance of the interface stress distribution. A neural network is used to identify an optimized adherend geometry with improved stress uniformity for cases with different constraints on joint stiffness and manufacturability. A fracture mechanics analysis is used to predict the force capacity enhancement of the optimized designs, and the results are verified through experiments on joints consisting of aluminum adherends bonded with a cyanoacrylate adhesive. The experimentally measured force-capacity enhancement is 2.4x, which closely agrees with model predictions.</t>
  </si>
  <si>
    <t>[Pande, Sumukh S.; Fulco, Sage; Turner, Kevin T.] Univ Penn, Dept Mech Engn &amp; Appl Mech, Philadelphia, PA 19104 USA</t>
  </si>
  <si>
    <t>University of Pennsylvania</t>
  </si>
  <si>
    <t>Turner, KT (corresponding author), Univ Penn, Dept Mech Engn &amp; Appl Mech, Philadelphia, PA 19104 USA.</t>
  </si>
  <si>
    <t>kturner@seas.upenn.edu</t>
  </si>
  <si>
    <t>Fulco, Sage/MGA-2373-2025; Turner, Kevin/LTC-4848-2024</t>
  </si>
  <si>
    <t>Turner, Kevin/0000-0003-4963-4568</t>
  </si>
  <si>
    <t>National Science Foundation (NSF) MRSEC program [DMR-1720530, DMR-2309043]; Department of Defense (DoD) through the National Defense Science &amp; Engineering Graduate (NDSEG)</t>
  </si>
  <si>
    <t>National Science Foundation (NSF) MRSEC program(National Science Foundation (NSF)NSF - Directorate for Mathematical &amp; Physical Sciences (MPS)); Department of Defense (DoD) through the National Defense Science &amp; Engineering Graduate (NDSEG)(United States Department of Defense)</t>
  </si>
  <si>
    <t>This work was supported by the National Science Foundation (NSF) MRSEC program under award DMR-1720530 and DMR-2309043. S.F. acknowledges support from the Department of Defense (DoD) through the National Defense Science &amp; Engineering Graduate (NDSEG) Fellowship Program. We thank Paris Perdikaris and Michal Budzik for their insight and input. We also thank Peter Szczesniak, Lucille Stinn, and Jason Pastor for helping to manufacture the adherends for the lap joints.</t>
  </si>
  <si>
    <t>2771-9545</t>
  </si>
  <si>
    <t>ACS APPL ENG MATER</t>
  </si>
  <si>
    <t>ACS Appl. Eng. Mater.</t>
  </si>
  <si>
    <t>FEB 20</t>
  </si>
  <si>
    <t>10.1021/acsaenm.3c00568</t>
  </si>
  <si>
    <t>FEB 2024</t>
  </si>
  <si>
    <t>Materials Science, Multidisciplinary</t>
  </si>
  <si>
    <t>Materials Science</t>
  </si>
  <si>
    <t>C4U7W</t>
  </si>
  <si>
    <t>WOS:001289335500001</t>
  </si>
  <si>
    <t>Yousefian, P; Tong, XL; Tan, J; Pradhan, DK; Jariwala, D; Olsson, RH</t>
  </si>
  <si>
    <t>Yousefian, Pedram; Tong, Xiaolei; Tan, Jonathan; Pradhan, Dhiren K.; Jariwala, Deep; Olsson, Roy H.</t>
  </si>
  <si>
    <t>Leakage Suppression Across Temperature in Al1-xScxN Thin Film Ferroelectric Capacitors Through Boron Incorporation</t>
  </si>
  <si>
    <t>IEEE ELECTRON DEVICE LETTERS</t>
  </si>
  <si>
    <t>Temperature measurement; Capacitors; Leakage currents; Current measurement; Boron; Switches; Semiconductor device measurement; Voltage measurement; Electrodes; Scandium; Aluminum scandium nitride (AlScN); aluminum boron scandium nitride (AlBScN); ferroelectric capacitors; high-temperature ferroelectrics</t>
  </si>
  <si>
    <t>letter presents high-temperature ferroelectric characterization of 40 nm Al1-x-yB(x)Sc(y)N (AlBScN) thin film capacitors grown by co-sputtering Al0.89B0.11 and Sc targets onto Pt(111)/Ti(002)/Si(100) substrates. Structural analysis confirmed a c-axis-oriented wurtzite structure with a low surface roughness of 1.37 nm. Ferroelectric switching, characterized by positive-up-negative-down (POND) measurements up to 600 degrees C, exhibited a linear decrease in coercive fields from 6.2 MV/cm at room temperature to 4.2 MV/cm at 600 degrees C, while remanent polarization remained stable with temperature. Direct current I-V measurements highlight a significant suppression of leakage currents, over two orders of magnitude lower compared to AlScN capacitors fabricated under similar conditions. These results position AlBScN thin films as strong candidates for ferroelectric applications in extreme environments.</t>
  </si>
  <si>
    <t>[Yousefian, Pedram; Tong, Xiaolei; Tan, Jonathan; Pradhan, Dhiren K.; Jariwala, Deep; Olsson, Roy H.] Univ Penn, Dept Elect &amp; Syst Engn, Philadelphia, PA 19104 USA</t>
  </si>
  <si>
    <t>Olsson, RH (corresponding author), Univ Penn, Dept Elect &amp; Syst Engn, Philadelphia, PA 19104 USA.</t>
  </si>
  <si>
    <t>rolsson@seas.upenn.edu</t>
  </si>
  <si>
    <t>; Yousefian, Pedram/HKN-8245-2023; Pradhan, Dhiren K/J-7280-2019; Jariwala, Deep/E-9913-2013</t>
  </si>
  <si>
    <t>Tong, Xiaolei/0009-0008-4123-1709; Pradhan, Dhiren K/0000-0003-1497-9267; Olsson, Roy/0000-0002-8007-5082</t>
  </si>
  <si>
    <t>Defense Advanced Research Project Agency; NSF National Nanotechnology Coordinated Infrastructure Program [NNCI-1542153]; NSF through the University of Pennsylvania Materials Research Science and Engineering Center (MRSEC) [DMR-2309043]</t>
  </si>
  <si>
    <t>Defense Advanced Research Project Agency(United States Department of DefenseDefense Advanced Research Projects Agency (DARPA)); NSF National Nanotechnology Coordinated Infrastructure Program; NSF through the University of Pennsylvania Materials Research Science and Engineering Center (MRSEC)(National Science Foundation (NSF))</t>
  </si>
  <si>
    <t>This work was supported by the Defense Advanced Research Project Agency under the COFFEE program. The thin film deposition, patterning, and characterization were performed at the Singh Center for Nanotechnology, which is funded under the NSF National Nanotechnology Coordinated Infrastructure Program (NNCI-1542153). The authors acknowledge the use of an XRD facility supported by the Laboratory for Research on the Structure of Matter and the NSF through the University of Pennsylvania Materials Research Science and Engineering Center (MRSEC) DMR-2309043.</t>
  </si>
  <si>
    <t>IEEE-INST ELECTRICAL ELECTRONICS ENGINEERS INC</t>
  </si>
  <si>
    <t>PISCATAWAY</t>
  </si>
  <si>
    <t>445 HOES LANE, PISCATAWAY, NJ 08855-4141 USA</t>
  </si>
  <si>
    <t>0741-3106</t>
  </si>
  <si>
    <t>1558-0563</t>
  </si>
  <si>
    <t>IEEE ELECTR DEVICE L</t>
  </si>
  <si>
    <t>IEEE Electron Device Lett.</t>
  </si>
  <si>
    <t>SEP</t>
  </si>
  <si>
    <t>10.1109/LED.2025.3587950</t>
  </si>
  <si>
    <t>Engineering, Electrical &amp; Electronic</t>
  </si>
  <si>
    <t>Engineering</t>
  </si>
  <si>
    <t>6YR6J</t>
  </si>
  <si>
    <t>WOS:001565172600018</t>
  </si>
  <si>
    <t>Singer, CA; Abdul-Karim, H; Printon, K; Poluri, N; Teng, T; Akbari, M; Modanloo, B; Mogas-Soldevila, L; Akbarzadeh, M; Hu, X; O'Malley, SM; Fang, H; de la Cruz, D</t>
  </si>
  <si>
    <t>Singer, Creston A.; Abdul-Karim, Hajara; Printon, Kyle; Poluri, Nagireddy; Teng, Teng; Akbari, Mostafa; Modanloo, Behzad; Mogas-Soldevila, Laia; Akbarzadeh, Masoud; Hu, Xiao; O'Malley, Sean M.; Fang, Hong; de la Cruz, David</t>
  </si>
  <si>
    <t>Plasticized agarose films: A physicochemical, mechanical and thermal study</t>
  </si>
  <si>
    <t>INTERNATIONAL JOURNAL OF BIOLOGICAL MACROMOLECULES</t>
  </si>
  <si>
    <t>Agarose; Natural materials; Plasticizer; Sustainable materials</t>
  </si>
  <si>
    <t>DOUBLE-HELIX; RELEASE; GELS</t>
  </si>
  <si>
    <t>Agarose uniquely forms moldable biodegradable films, making it a promising renewable material with exceptional biocompatibility, thermo-reversibility, and flexibility. However, agarose films lose most of their flexibility at low moisture content. One way to assuage this issue is to incorporate plasticizing agents. In this study, four plasticizers (i.e., sucrose, urea, glucose, and glycerol) were chosen and combined in various concentrations and combinations to produce an agarose-based composite. The study examined how four different plasticizers affect agarose's intermolecular interactions, impacting its mechanical, morphological, thermal, and physicochemical properties. Techniques like Fourier Transform Infrared Spectroscopy (FTIR), Thermogravimetric Analysis (TGA), X-ray Scattering, electric actuation, and tensile testing were used to analyze the effects of plasticizers on agarosebased films. The findings reveal that the mechanical and thermal properties of agarose films are influenced to varying degrees by the four plasticizers studied. Plasticizers with high hydroxyl content and smaller molecular size demonstrated the most significant improvements in film flexibility and stretchability. These variations in performance can be attributed to differences in intermolecular interactions, driven by changes in hydrogen bonding groups, as observed through FTIR and X-ray Scattering analyses. A deeper understanding of how hydrogen bonds affect the agarose-plasticizer matrix could pave the way for precisely tailoring the properties of agarose films.</t>
  </si>
  <si>
    <t>[Singer, Creston A.; O'Malley, Sean M.; Fang, Hong; de la Cruz, David] Rutgers State Univ, Ctr Computat &amp; Integrat Biol, Camden, NJ 08102 USA; [Abdul-Karim, Hajara; de la Cruz, David] Rutgers State Univ, Dept Chem, Camden, NJ 08102 USA; [Printon, Kyle; Poluri, Nagireddy; Hu, Xiao] Rowan Univ, Dept Phys &amp; Astron, Glassboro, NJ 08028 USA; [O'Malley, Sean M.; Fang, Hong] Rutgers State Univ, Dept Phys, Camden, NJ 08102 USA; [Teng, Teng; Akbari, Mostafa; Akbarzadeh, Masoud] Univ Penn, Stuart Weitzman Sch Design, Dept Architecture, Polyhedral Struct Lab, Philadelphia, PA 19104 USA; [Akbari, Mostafa] Tulane Univ, Sch Architecture, Cellular Architectures Lab, New Orleans, LA 70112 USA; [Modanloo, Behzad; Mogas-Soldevila, Laia] Univ Penn, Stuart Weitzman Sch Design, Dept Architecture, DumoLab Res, Philadelphia, PA 19104 USA; [Poluri, Nagireddy; Hu, Xiao] Rowan Univ, Dept Chem &amp; Biochem, Glassboro, NJ 08028 USA</t>
  </si>
  <si>
    <t>Rutgers University System; Rutgers University New Brunswick; Rutgers University Camden; Rutgers University System; Rutgers University Camden; Rutgers University New Brunswick; Rowan University; Rutgers University System; Rutgers University New Brunswick; Rutgers University Camden; University of Pennsylvania; Tulane University; University of Pennsylvania; Rowan University</t>
  </si>
  <si>
    <t>de la Cruz, D (corresponding author), Rutgers State Univ, Ctr Computat &amp; Integrat Biol, Camden, NJ 08102 USA.</t>
  </si>
  <si>
    <t>david.salas@camden.rutgers.edu</t>
  </si>
  <si>
    <t>Abdul-Karim, Hajara Bin/HSE-9816-2023; Akbari, Mostafa/KII-2978-2024; Teng, Teng/LWJ-7554-2024; Fang, Hong/AFZ-9191-2022</t>
  </si>
  <si>
    <t>Abdul-Karim, Hajara Bin/0000-0003-3629-4189; O'Malley, Sean/0000-0001-5825-7421; poluri, Nagireddy/0009-0003-6571-045X; Fang, Hong/0000-0002-0968-8687</t>
  </si>
  <si>
    <t>National Science Foundation [CMMI 2037097]; NSF [DMR-2309043]</t>
  </si>
  <si>
    <t>National Science Foundation(National Science Foundation (NSF)); NSF(National Science Foundation (NSF))</t>
  </si>
  <si>
    <t>The authors are grateful for funding from the National Science Foundation CMMI 2037097. The authors acknowledge the use of the Dual Source and Environmental X-ray Scattering facility operated by the Laboratory for Research on the Structure of Matter at the University of Pennsylvania, supported by NSF through the DMR-2309043 grant.</t>
  </si>
  <si>
    <t>0141-8130</t>
  </si>
  <si>
    <t>1879-0003</t>
  </si>
  <si>
    <t>INT J BIOL MACROMOL</t>
  </si>
  <si>
    <t>Int. J. Biol. Macromol.</t>
  </si>
  <si>
    <t>MAY</t>
  </si>
  <si>
    <t>10.1016/j.ijbiomac.2025.141406</t>
  </si>
  <si>
    <t>MAR 2025</t>
  </si>
  <si>
    <t>Biochemistry &amp; Molecular Biology; Chemistry, Applied; Polymer Science</t>
  </si>
  <si>
    <t>Biochemistry &amp; Molecular Biology; Chemistry; Polymer Science</t>
  </si>
  <si>
    <t>Z5M2A</t>
  </si>
  <si>
    <t>WOS:001439337400001</t>
  </si>
  <si>
    <t>Yeh, CK; Huang, Y; Schoenmakers, LH; Lee, D</t>
  </si>
  <si>
    <t>Yeh, Charles K.; Huang, Yijin; Schoenmakers, Luuk H.; Lee, Daeyeon</t>
  </si>
  <si>
    <t>Tunable Gas Bubbles within Gas-Encapsulating Microcapsules (GEMs) for Buoyancy-Driven Purification</t>
  </si>
  <si>
    <t>ACS APPLIED MATERIALS &amp; INTERFACES</t>
  </si>
  <si>
    <t>double emulsion; gas vesicles; microencapsulation; separation; poly(d,l-lactide-co-glycolide) (PLGA); microfluidics; ethylacetate</t>
  </si>
  <si>
    <t>MICROFLUIDIC FABRICATION; SHELL MICROCAPSULES; NEGATIVE PRESSURES; DRUG-DELIVERY; CAVITATION; RELEASE; MICROENCAPSULATION; STABILITY; EMULSIONS; MEMBRANE</t>
  </si>
  <si>
    <t>Certain aquatic microorganisms regulate buoyancy by producing intracellular gas vesicles. Separately, cavitation in drought-stressed plants illustrates how negative pressure can spontaneously generate gas bubbles. Inspired by both natural phenomena, we present gas bubble-encapsulating microcapsules (GEMs) that combine these principles, mimicking the buoyancy regulation of microbial gas vesicles and cavitation within plants by leveraging negative pressure to nucleate and control the size of gas bubbles. GEMs are derived from poly(d,l-lactide-co-glycolide) (PLGA) microcapsules with an aqueous core and a solid polymeric shell. Microcapsules experience a phenomenon known as osmosis-induced cavitation when transferred into an environment with high osmotic pressure. In this phenomenon, the internal aqueous phase experiences a large negative pressure, triggering cavitation, where gas bubbles nucleate and grow from dissolved air to form GEMs. This cavitation-based approach enables precise postfabrication control of bubble size by simply modulating the external salt concentration. We demonstrate that the buoyancy imparted by these internal gas bubbles allows for the effective purification of GEMs from impurities, such as polymer debris and defective microcapsules. Our strategy offers a straightforward, scalable, and highly controllable approach for producing GEMs. It also establishes a synthetic analogue to microbial gas vesicle systems with potential applications in purification, ultrasound theranostics, gastric drug delivery, and pressure-responsive delivery of active agents.</t>
  </si>
  <si>
    <t>[Yeh, Charles K.; Huang, Yijin; Schoenmakers, Luuk H.; Lee, Daeyeon] Univ Penn, Dept Chem &amp; Biomol Engn, Philadelphia, PA 19104 USA</t>
  </si>
  <si>
    <t>Lee, D (corresponding author), Univ Penn, Dept Chem &amp; Biomol Engn, Philadelphia, PA 19104 USA.</t>
  </si>
  <si>
    <t>daeyeon@seas.upenn.edu</t>
  </si>
  <si>
    <t>Schoenmakers, Luuk Hein/0009-0002-9036-3413</t>
  </si>
  <si>
    <t>NSF [NSF DMR 2309043]; Pennsylvania Department of Health Graftable, Inc. [410008576]; Nemirovsky Engineering and Medicine Opportunity (NEMO) Prize from Penn Engineering and Penn-Health Tech</t>
  </si>
  <si>
    <t>NSF(National Science Foundation (NSF)); Pennsylvania Department of Health Graftable, Inc.; Nemirovsky Engineering and Medicine Opportunity (NEMO) Prize from Penn Engineering and Penn-Health Tech</t>
  </si>
  <si>
    <t>We thank Penn MRSEC through NSF (NSF DMR 2309043), Pennsylvania Department of Health (410008576), Graftable, Inc., Nemirovsky Engineering and Medicine Opportunity (NEMO) Prize from Penn Engineering and Penn-Health Tech for financial support.</t>
  </si>
  <si>
    <t>1944-8244</t>
  </si>
  <si>
    <t>1944-8252</t>
  </si>
  <si>
    <t>ACS APPL MATER INTER</t>
  </si>
  <si>
    <t>ACS Appl. Mater. Interfaces</t>
  </si>
  <si>
    <t>AUG 6</t>
  </si>
  <si>
    <t>10.1021/acsami.5c08301</t>
  </si>
  <si>
    <t>Nanoscience &amp; Nanotechnology; Materials Science, Multidisciplinary</t>
  </si>
  <si>
    <t>Science &amp; Technology - Other Topics; Materials Science</t>
  </si>
  <si>
    <t>6FM3H</t>
  </si>
  <si>
    <t>WOS:001539126600001</t>
  </si>
  <si>
    <t>Morimitsu, Y; Browne, CA; Liu, Z; Severino, PG; Gopinadhan, M; Sirota, EB; Altintas, O; Edmond, KV; Osuji, CO</t>
  </si>
  <si>
    <t>Morimitsu, Yuma; Browne, Christopher A.; Liu, Zhe; Severino, Paul G.; Gopinadhan, Manesh; Sirota, Eric B.; Altintas, Ozcan; Edmond, Kazem V.; Osuji, Chinedum O.</t>
  </si>
  <si>
    <t>Spontaneous assembly of condensate networks during the demixing of structured fluids</t>
  </si>
  <si>
    <t>PROCEEDINGS OF THE NATIONAL ACADEMY OF SCIENCES OF THE UNITED STATES OF AMERICA</t>
  </si>
  <si>
    <t>phase separation; liquid crystal; self- assembly; condensate</t>
  </si>
  <si>
    <t>PHASE-SEPARATION; LIQUID-CRYSTALLINE; PATTERN-FORMATION; DROPLETS; PROTEIN; TRANSITIONS</t>
  </si>
  <si>
    <t>Liquid-liquid phase separation, whereby two liquids spontaneously demix, is ubiquitous in industrial, environmental, and biological processes. While isotropic fluids are known to condense into spherical droplets in the binodal region, these dynamics are poorly understood for structured fluids. Here, we report the unique observation of condensate networks, which spontaneously assemble during the demixing of a mesogen from a solvent. Condensing mesogens form rapidly elongating filaments, rather than spheres, to relieve distortion of an internal smectic mesophase. As filaments densify, they collapse into bulged discs, lowering the elastic free energy. Additional distortion is relieved by retraction of filaments into the discs, which are straightened under tension to form a ramified network. Understanding and controlling these dynamics may provide different avenues to direct pattern formation or template materials.</t>
  </si>
  <si>
    <t>[Morimitsu, Yuma; Browne, Christopher A.; Liu, Zhe; Osuji, Chinedum O.] Univ Penn, Dept Chem &amp; Biomol Engn, Philadelphia, PA 19104 USA; [Severino, Paul G.] Univ Penn, Dept Phys &amp; Astron, Philadelphia, PA 19104 USA; [Gopinadhan, Manesh; Sirota, Eric B.; Altintas, Ozcan; Edmond, Kazem V.] ExxonMobil Technol &amp; Engn Co, Res Div, Annandale, NJ 08801 USA</t>
  </si>
  <si>
    <t>Osuji, CO (corresponding author), Univ Penn, Dept Chem &amp; Biomol Engn, Philadelphia, PA 19104 USA.</t>
  </si>
  <si>
    <t>cosuji@seas.upenn.edu</t>
  </si>
  <si>
    <t>Sirota, Eric/A-7633-2009; Edmond, Kazem/B-4686-2008; Morimitsu, Yuma/AHE-7854-2022</t>
  </si>
  <si>
    <t>Altintas, Ozcan/0000-0003-3725-4613; Severino, Paul/0000-0002-1648-4148; Liu, Zhe/0000-0001-5017-7881; Morimitsu, Yuma/0000-0001-7303-0006; Browne, Christopher/0000-0002-3945-9906; Gopinadhan, Manesh/0000-0001-8452-6613</t>
  </si>
  <si>
    <t>NSF [DMR-2309043]; ExxonMobil; NSF Graduate Research Fellowship Program [DGE-1845298]</t>
  </si>
  <si>
    <t>NSF(National Science Foundation (NSF)); ExxonMobil(Exxon Mobil Corporation); NSF Graduate Research Fellowship Program(National Science Foundation (NSF))</t>
  </si>
  <si>
    <t>It is our pleasure to acknowledge Randall Kamien for insightful discussion. The authors acknowledge NSF support through DMR-2309043. We gratefully acknowledge ExxonMobil for partial financial support of this work. This material is also based in part on work supported by the NSF Graduate Research Fellowship Program (to P.G.S.) under Grant No. DGE-1845298.</t>
  </si>
  <si>
    <t>NATL ACAD SCIENCES</t>
  </si>
  <si>
    <t>2101 CONSTITUTION AVE NW, WASHINGTON, DC 20418 USA</t>
  </si>
  <si>
    <t>0027-8424</t>
  </si>
  <si>
    <t>1091-6490</t>
  </si>
  <si>
    <t>P NATL ACAD SCI USA</t>
  </si>
  <si>
    <t>Proc. Natl. Acad. Sci. U. S. A.</t>
  </si>
  <si>
    <t>SEP 24</t>
  </si>
  <si>
    <t>e2407914121</t>
  </si>
  <si>
    <t>10.1073/pnas.2407914121</t>
  </si>
  <si>
    <t>O2N2L</t>
  </si>
  <si>
    <t>WOS:001369554000010</t>
  </si>
  <si>
    <t>Chen, YH; Mandic, M; Slaughter, CG; Tanaka, M; Kikkawa, JM; Collings, PJ; Yodh, AG</t>
  </si>
  <si>
    <t>Chen, Yihao; Mandic, Mina; Slaughter, Charlotte G.; Tanaka, Michio; Kikkawa, James M.; Collings, Peter J.; Yodh, A. G.</t>
  </si>
  <si>
    <t>Morphology and line tension of twist disclinations in a nematic liquid crystal</t>
  </si>
  <si>
    <t>SOFT MATTER</t>
  </si>
  <si>
    <t>ELASTIC-CONSTANTS; FIELD; ORDER</t>
  </si>
  <si>
    <t>We deploy optical microscopy with and without an applied magnetic field to characterize the three-dimensional morphology and measure the line tension of twist disclinations in twisted nematic liquid crystal (LC) sample cells. Twist disclinations are generated by quenching the LC, 5CB (4-cyano-4 '-pentylbiphenyl), into the nematic phase; 5CB is confined between substrates with in-plane anchoring directions perpendicular to one another. The disclinations form loops separating domains of opposite twist handedness. Many segments of these loops are pinned to the substrates, and the ends of some pinned segments connect to free disclination segments that penetrate into the bulk nematic. We use confocal microscopy to measure the profiles of these free disclinations and test theoretical predictions about their shape, yielding a lower bound of similar to 32 nm for the disclination core radius. We then use an applied magnetic field to deform the free disclinations into circular arcs whose curvature increases with magnetic field strength and depends on the field-induced energy difference between opposite twist domains. The line tension of the disclinations is derived from an energy-balance equation that relates disclination curvature to magnetic field. The measured line tension increases logarithmically with sample cell thickness; it ranges from 75 to 200 pN in samples with thickness spanning from 6 to 27 mu m. In total, the investigation introduces new non-invasive methodologies for studies of defects in LCs, and it provides new information about the line tension and character of isolated twist disclinations, thereby testing theory and laying experimental foundation for the study of ensembles of disclinations.</t>
  </si>
  <si>
    <t>[Chen, Yihao; Slaughter, Charlotte G.; Tanaka, Michio; Kikkawa, James M.; Collings, Peter J.; Yodh, A. G.] Univ Penn, Dept Phys &amp; Astron, Philadelphia, PA 19104 USA; [Mandic, Mina; Collings, Peter J.] Swarthmore Coll, Dept Phys &amp; Astron, Swarthmore, PA 19081 USA</t>
  </si>
  <si>
    <t>University of Pennsylvania; Swarthmore College</t>
  </si>
  <si>
    <t>Chen, YH (corresponding author), Univ Penn, Dept Phys &amp; Astron, Philadelphia, PA 19104 USA.</t>
  </si>
  <si>
    <t>ychen258@sas.upenn.edu</t>
  </si>
  <si>
    <t>; Slaughter, Charlotte/LFV-2044-2024; Chen, Yihao/HKV-3310-2023</t>
  </si>
  <si>
    <t>Tanaka, Michio/0000-0002-8301-8171; Yodh, Arjun/0000-0003-4744-2706; Slaughter, Charlotte/0009-0009-1950-9556; Mandic, Mina/0000-0002-1052-9069; Chen, Yihao/0000-0002-9956-5719</t>
  </si>
  <si>
    <t>National Science Foundation [DMR-2003659]; NSF [DMR-2309043]; NSF Penn Materials Research Science and Engineering Center</t>
  </si>
  <si>
    <t>National Science Foundation(National Science Foundation (NSF)); NSF(National Science Foundation (NSF)); NSF Penn Materials Research Science and Engineering Center</t>
  </si>
  <si>
    <t>This work was supported by the NSF through Grant No. DMR-2003659 and by the NSF Penn Materials Research Science and Engineering Center through Grant No. DMR-2309043, including its Optical Microscopy Shared Experimental Facility (SEF) and Property Measurement SEF. We also acknowledge the support of Swarthmore College for the use of the confocal microscope. We thank Hannah Gruner, Cheng Long, Alvin Modin, Jonathan Selinger, and Hiroshi Yokoyama for helpful discussions.</t>
  </si>
  <si>
    <t>ROYAL SOC CHEMISTRY</t>
  </si>
  <si>
    <t>THOMAS GRAHAM HOUSE, SCIENCE PARK, MILTON RD, CAMBRIDGE CB4 0WF, CAMBS, ENGLAND</t>
  </si>
  <si>
    <t>1744-683X</t>
  </si>
  <si>
    <t>1744-6848</t>
  </si>
  <si>
    <t>Soft Matter</t>
  </si>
  <si>
    <t>NOV 20</t>
  </si>
  <si>
    <t>10.1039/d4sm01076k</t>
  </si>
  <si>
    <t>OCT 2024</t>
  </si>
  <si>
    <t>Chemistry, Physical; Materials Science, Multidisciplinary; Physics, Multidisciplinary; Polymer Science</t>
  </si>
  <si>
    <t>Chemistry; Materials Science; Physics; Polymer Science</t>
  </si>
  <si>
    <t>M7B7S</t>
  </si>
  <si>
    <t>WOS:001347639300001</t>
  </si>
  <si>
    <t>Fulco, S; Budzik, MK; Xiao, HY; Durian, DJ; Turner, KT</t>
  </si>
  <si>
    <t>Fulco, Sage; Budzik, Michal K.; Xiao, Hongyi; Durian, Douglas J.; Turner, Kevin T.</t>
  </si>
  <si>
    <t>Disorder enhances the fracture toughness of 2D mechanical metamaterials</t>
  </si>
  <si>
    <t>PNAS NEXUS</t>
  </si>
  <si>
    <t>fracture toughness; disordered materials; photoelasticity; mechanical metamaterials; network materials</t>
  </si>
  <si>
    <t>LIGHTWEIGHT; ULTRALIGHT; STRENGTH; BRITTLE</t>
  </si>
  <si>
    <t>Mechanical metamaterials with engineered failure properties typically rely on periodic unit cell geometries or bespoke microstructures to achieve their unique properties. We demonstrate that intelligent use of disorder in metamaterials leads to distributed damage during failure, resulting in enhanced fracture toughness with minimal losses of strength. Toughness depends on the level of disorder, not a specific geometry, and the confined lattices studied exhibit a maximum toughness enhancement at an optimal level of disorder. A mechanics model that relates disorder to toughness without knowledge of the crack path is presented. The model is verified through finite element simulations and experiments utilizing photoelasticity to visualize damage during failure. At the optimal level of disorder, the toughness is more than 2.6x of an ordered lattice of equivalent density.</t>
  </si>
  <si>
    <t>[Fulco, Sage; Durian, Douglas J.; Turner, Kevin T.] Univ Penn, Dept Mech Engn &amp; Appl Mech, Philadelphia, PA 19104 USA; [Budzik, Michal K.] Aarhus Univ, Dept Mech &amp; Prod Engn, Aarhus, Denmark; [Xiao, Hongyi; Durian, Douglas J.] Univ Penn, Dept Phys &amp; Astron, Philadelphia, PA 19104 USA; [Xiao, Hongyi] Univ Michigan, Dept Mech Engn, Ann Arbor, MI 48109 USA</t>
  </si>
  <si>
    <t>University of Pennsylvania; Aarhus University; University of Pennsylvania; University of Michigan System; University of Michigan</t>
  </si>
  <si>
    <t>Fulco, S; Turner, KT (corresponding author), Univ Penn, Dept Mech Engn &amp; Appl Mech, Philadelphia, PA 19104 USA.</t>
  </si>
  <si>
    <t>fulco@seas.upenn.edu; kturner@seas.upenn.edu</t>
  </si>
  <si>
    <t>Turner, Kevin/LTC-4848-2024; Xiao, Hongyi/AAM-5333-2020; Durian, Douglas/D-7013-2012; Budzik, Michal/JAC-7781-2023; Fulco, Sage/MGA-2373-2025</t>
  </si>
  <si>
    <t>Turner, Kevin/0000-0003-4963-4568; Xiao, Hongyi/0000-0001-5174-2061; Durian, Douglas/0000-0003-3240-2381; Budzik, Michal/0000-0002-6429-0364; Fulco, Sage/0000-0002-4591-0521</t>
  </si>
  <si>
    <t>National Science Foundation (NSF) MRSEC program [DMR-2309043, DMR-1720530]; US Department of Defense (DoD) through the National Defense Science &amp; Engineering Graduate (NDSEG) Fellowship Program; Villum Foundations for support under the Villum Experiment programme [VIL50302]</t>
  </si>
  <si>
    <t>National Science Foundation (NSF) MRSEC program(National Science Foundation (NSF)NSF - Directorate for Mathematical &amp; Physical Sciences (MPS)); US Department of Defense (DoD) through the National Defense Science &amp; Engineering Graduate (NDSEG) Fellowship Program; Villum Foundations for support under the Villum Experiment programme</t>
  </si>
  <si>
    <t>This research was funded primarily by the National Science Foundation (NSF) MRSEC program [awards DMR-2309043 and DMR-1720530]. S.F. acknowledges support from the US Department of Defense (DoD) through the National Defense Science &amp; Engineering Graduate (NDSEG) Fellowship Program. M.K.B. acknowledges the Villum Foundations for support under the Villum Experiment programme (VIL50302).</t>
  </si>
  <si>
    <t>OXFORD UNIV PRESS</t>
  </si>
  <si>
    <t>OXFORD</t>
  </si>
  <si>
    <t>GREAT CLARENDON ST, OXFORD OX2 6DP, ENGLAND</t>
  </si>
  <si>
    <t>2752-6542</t>
  </si>
  <si>
    <t>PNAS Nexus</t>
  </si>
  <si>
    <t>FEB 7</t>
  </si>
  <si>
    <t>pgaf023</t>
  </si>
  <si>
    <t>10.1093/pnasnexus/pgaf023</t>
  </si>
  <si>
    <t>Multidisciplinary Sciences; Social Sciences, Interdisciplinary</t>
  </si>
  <si>
    <t>Science &amp; Technology - Other Topics; Social Sciences - Other Topics</t>
  </si>
  <si>
    <t>U9R3Y</t>
  </si>
  <si>
    <t>WOS:001415072600001</t>
  </si>
  <si>
    <t>Lee, HH; Choi, JH; Kim, DS; Jeon, S; Stach, EA; Cho, HK</t>
  </si>
  <si>
    <t>Lee, Hak Hyeon; Choi, Ji Hoon; Kim, Dong Su; Jeon, Sungho; Stach, Eric A.; Cho, Hyung Koun</t>
  </si>
  <si>
    <t>Electrochemical Glycerol Valorization Using Tolerant Pt Embedded Bi Platform Electrocatalysts Derived From Photoactive Bismuth Oxyiodide Nanosheet Intermediates</t>
  </si>
  <si>
    <t>ECOMAT</t>
  </si>
  <si>
    <t>bismuth oxyiodide; glycerol oxidation reaction; hydrogen production; PtBi</t>
  </si>
  <si>
    <t>ELECTROOXIDATION; OXIDATION; PLATINUM; PTBI; CATALYSTS; ELECTRODE; ACID</t>
  </si>
  <si>
    <t>Pt-based electrocatalysts for glycerol oxidation reaction (GOR) exhibit low durability due to the inactivation of Pt through rapid poisoning under oxidative conditions. Thus, bimetallic PtBi was strategically synthesized using BiOI as a photoactive intermediate for the uniform photoelectrodeposition of Pt. The nanostructured Pt-Bi was electrochemically reduced from a Pt/BiOI medium, and the GOR-activated Pt-Bi electrocatalysts (G-Pt-Bi) were obtained via a subsequent electrochemical activation process. Here, abundant Bi sites in PtBi can prevent Pt poisoning and effectively provide adsorbed OH- for the GOR on Pt sites. Consequently, it allows the operation in low onset potential for GOR with a high mass activity of 13.35 A mgPt-1 at 0.85 VRHE in alkaline solution. The GOR products obtained using G-Pt-Bi were identified as glycolate and formate by 1H-nuclear magnetic resonance without the interruption of the hydrogen evolution reaction, and it finally enables the operation of a membrane-free two-electrode system. In situ electrochemical impedance spectroscopy demonstrates that the G-Pt-Bi exhibit superior GOR kinetics and higher resistance to Pt inactivation compared with conventional Pt/C. This study suggests a novel design for a G-Pt-Bi architecture in developing durable and high-mass-activity Pt catalysts for the GOR.image</t>
  </si>
  <si>
    <t>[Lee, Hak Hyeon; Choi, Ji Hoon; Kim, Dong Su; Cho, Hyung Koun] Sungkyunkwan Univ, Sch Adv Mat Sci &amp; Engn, Suwon, Gyeonggi Do, South Korea; [Choi, Ji Hoon; Jeon, Sungho; Stach, Eric A.] Univ Penn, Dept Mat Sci &amp; Engn, Philadelphia, PA USA</t>
  </si>
  <si>
    <t>Sungkyunkwan University (SKKU); University of Pennsylvania</t>
  </si>
  <si>
    <t>Cho, HK (corresponding author), Sungkyunkwan Univ, Sch Adv Mat Sci &amp; Engn, Suwon, Gyeonggi Do, South Korea.</t>
  </si>
  <si>
    <t>chohk@skku.edu</t>
  </si>
  <si>
    <t>Jeon, Sungho/ACN-4868-2022; Stach, Eric/D-8545-2011; Cho, Hyung Koun/P-2007-2017; Kim, Dong Su/IAN-1770-2023</t>
  </si>
  <si>
    <t>Jeon, Sungho/0000-0002-2262-6819; Stach, Eric/0000-0002-3366-2153; Cho, Hyung Koun/0000-0003-0861-523X; Kim, Dong Su/0000-0002-9911-829X; Lee, Hak Hyeon/0000-0001-9961-5168; Choi, Ji Hoon/0000-0002-2189-3851</t>
  </si>
  <si>
    <t>National Research Foundation of Korea [2021R1A2C3011870]; Basic Science Research Program through the National Research Foundation of Korea (NRF) - Ministry of Education [2020M3H4A1A03084600]; Nano Material Technology Development Program [NNCI-2025608]; NSF National Nanotechnology Coordinated Infrastructure Program [DMR-2309043]; Laboratory for Research on the Structure of Matter, an NSF Materials Research Science and Engineering Center</t>
  </si>
  <si>
    <t>National Research Foundation of Korea(National Research Foundation of Korea); Basic Science Research Program through the National Research Foundation of Korea (NRF) - Ministry of Education(National Research Foundation of KoreaMinistry of Education (MOE), Republic of Korea); Nano Material Technology Development Program; NSF National Nanotechnology Coordinated Infrastructure Program; Laboratory for Research on the Structure of Matter, an NSF Materials Research Science and Engineering Center</t>
  </si>
  <si>
    <t>This research was financially supported by the Basic Science Research Program through the National Research Foundation of Korea (NRF) funded by the Ministry of Education (No. 2021R1A2C3011870) and Nano Material Technology Development Program (No. 2020M3H4A1A03084600). This work was carried out in part at the Singh Center for Nanotechnology, which is supported by the NSF National Nanotechnology Coordinated Infrastructure Program under grant NNCI-2025608. Additional support to the Nanoscale Characterization Facility was provided by the Laboratory for Research on the Structure of Matter, an NSF Materials Research Science and Engineering Center, under grant DMR-2309043.</t>
  </si>
  <si>
    <t>WILEY</t>
  </si>
  <si>
    <t>HOBOKEN</t>
  </si>
  <si>
    <t>111 RIVER ST, HOBOKEN 07030-5774, NJ USA</t>
  </si>
  <si>
    <t>2567-3173</t>
  </si>
  <si>
    <t>EcoMat</t>
  </si>
  <si>
    <t>DEC</t>
  </si>
  <si>
    <t>10.1002/eom2.12504</t>
  </si>
  <si>
    <t>NOV 2024</t>
  </si>
  <si>
    <t>Chemistry, Physical; Green &amp; Sustainable Science &amp; Technology; Materials Science, Multidisciplinary</t>
  </si>
  <si>
    <t>Chemistry; Science &amp; Technology - Other Topics; Materials Science</t>
  </si>
  <si>
    <t>P7F2O</t>
  </si>
  <si>
    <t>gold</t>
  </si>
  <si>
    <t>WOS:001357301900001</t>
  </si>
  <si>
    <t>Schulte, L; Qin, SH; Jung, WN; George, C; Dillenburger, JD; Venkatesh, A; Ishak, MK; Wonderling, NM; Marth, S; Park, H; Bae, C; Rappe, AM; Mallouk, TE</t>
  </si>
  <si>
    <t>Schulte, Leanna; Qin, Shihan; Jung, Wonil; George, Christy; Dillenburger, Jarrett D.; Venkatesh, Akshay; Ishak, Muhammad K.; Wonderling, Nichole M.; Marth, Sariah; Park, Heemin; Bae, Chulsung; Rappe, Andrew M.; Mallouk, Thomas E.</t>
  </si>
  <si>
    <t>Solid-State Hydroxide Ion Conductivity in Silver(I) Oxide, Ag2O</t>
  </si>
  <si>
    <t>CHEMISTRY OF MATERIALS</t>
  </si>
  <si>
    <t>TOTAL-ENERGY CALCULATIONS; INITIO; ENHANCEMENT</t>
  </si>
  <si>
    <t>Silver(I) oxide, Ag2O, precipitated as microcrystals by combining aqueous silver(I) nitrate and KOH solutions, was found to be a solid-state hydroxide ion conductor with ionic conductivity on the order of 10-3 S/cm. The proton chemical shifts at 4.87 and -7.35 ppm measured by solid-state 1H NMR experiments are attributed to water molecules and in-lattice OH- coordinated to silver, respectively. The lack of spinning sidebands around the 4.87 ppm peak indicates rapid reorientation on the NMR time scale, suggesting that the water molecules are adsorbed to the surface of the Ag2O crystals. Pulsed field gradient measurements gave similar diffusion coefficients (2 x 10-7 cm2/s at 298 K) for all three proton environments, indicating chemical exchange between sites on the millisecond time scale. The activation energy for OH- diffusion measured by NMR (0.18 eV) was comparable to that obtained by conductivity measurements and density functional theory (DFT) electronic structure calculations. The calculated Pourbaix diagram of Ag2O is consistent with the slightly lower sample density observed in He pycnometry and thermogravimetric measurements.</t>
  </si>
  <si>
    <t>[Schulte, Leanna; Qin, Shihan; Jung, Wonil; Dillenburger, Jarrett D.; Venkatesh, Akshay; Rappe, Andrew M.; Mallouk, Thomas E.] Univ Penn, Dept Chem, Philadelphia, PA 19104 USA; [George, Christy] Penn State Univ, Dept Chem, University Pk, PA 16802 USA; [Ishak, Muhammad K.; Wonderling, Nichole M.] Penn State Univ, Mat Res Inst, University Pk, PA 16802 USA; [Marth, Sariah; Park, Heemin; Bae, Chulsung] Rensselaer Polytech Inst, Dept Chem &amp; Chem Biol, Troy, NY 12180 USA; [Mallouk, Thomas E.] Natl Inst Mat Sci NIMS, Int Ctr Mat Nanoarchitecton WPI MANA, Tsukuba, Ibaraki 3050044, Japan</t>
  </si>
  <si>
    <t>University of Pennsylvania; Pennsylvania Commonwealth System of Higher Education (PCSHE); Pennsylvania State University; Pennsylvania State University - University Park; Pennsylvania Commonwealth System of Higher Education (PCSHE); Pennsylvania State University; Pennsylvania State University - University Park; Rensselaer Polytechnic Institute; National Institute for Materials Science</t>
  </si>
  <si>
    <t>Rappe, AM; Mallouk, TE (corresponding author), Univ Penn, Dept Chem, Philadelphia, PA 19104 USA.;Mallouk, TE (corresponding author), Natl Inst Mat Sci NIMS, Int Ctr Mat Nanoarchitecton WPI MANA, Tsukuba, Ibaraki 3050044, Japan.</t>
  </si>
  <si>
    <t>rappe@sas.upenn.edu; mallouk@sas.upenn.edu</t>
  </si>
  <si>
    <t>Park, Heemin/GRO-5187-2022; Dillenburger, Jarrett/JIX-1085-2023; Mallouk, Thomas/K-7391-2012; Rappe, Andrew/HFZ-8855-2022</t>
  </si>
  <si>
    <t>Dillenburger, Jarrett/0000-0001-8274-6452; Schulte, Leanna/0000-0002-6970-8811; Wonderling, Nichole M/0000-0001-6866-2607; Park, Heemin/0009-0005-7194-3078; Jung, Wonil/0009-0008-0625-8105</t>
  </si>
  <si>
    <t>Division of Materials Research [DMR-2309043]; National Science Foundation through the University of Pennsylvania Materials Research Science and Engineering Center (MRSEC); National Energy Research Scientific Computing Center (NERSC) [DE-AC02-05CH11231]; U.S. Department of Energy, Office of Science User Facility located at Lawrence Berkeley National Laboratory</t>
  </si>
  <si>
    <t>Division of Materials Research(National Science Foundation (NSF)NSF - Directorate for Mathematical &amp; Physical Sciences (MPS)); National Science Foundation through the University of Pennsylvania Materials Research Science and Engineering Center (MRSEC)(National Science Foundation (NSF)); National Energy Research Scientific Computing Center (NERSC); U.S. Department of Energy, Office of Science User Facility located at Lawrence Berkeley National Laboratory(United States Department of Energy (DOE))</t>
  </si>
  <si>
    <t>We thank Steve Szewczyk and the University of Pennsylvania MSE Departmental Laboratory for use of the TA Q600-series SDT instrument. PXRD experiments were done at the Laboratory for Research on the Structure of Matter, which is supported by the National Science Foundation through the University of Pennsylvania Materials Research Science and Engineering Center (MRSEC) DMR-2309043. Computational support was provided by the National Energy Research Scientific Computing Center (NERSC), a U.S. Department of Energy, Office of Science User Facility located at Lawrence Berkeley National Laboratory, operated under Contract No. DE-AC02-05CH11231.</t>
  </si>
  <si>
    <t>0897-4756</t>
  </si>
  <si>
    <t>1520-5002</t>
  </si>
  <si>
    <t>CHEM MATER</t>
  </si>
  <si>
    <t>Chem. Mat.</t>
  </si>
  <si>
    <t>NOV 26</t>
  </si>
  <si>
    <t>10.1021/acs.chemmater.4c02082</t>
  </si>
  <si>
    <t>Chemistry, Physical; Materials Science, Multidisciplinary</t>
  </si>
  <si>
    <t>O9E3U</t>
  </si>
  <si>
    <t>WOS:001363814100001</t>
  </si>
  <si>
    <t>Huang, QY; Yu, KH; Bae, JY; Lee, Y; Aviv, D; Yang, S</t>
  </si>
  <si>
    <t>Huang, Qingya; Yu, Kun-Hao; Bae, Ji Yoon; Lee, Yunchan; Aviv, Dorit; Yang, Shu</t>
  </si>
  <si>
    <t>Elephant-Skin-Inspired Porous Cementitious Tiles with Programmable Crack Networks for Passive Cooling</t>
  </si>
  <si>
    <t>ADVANCED MATERIALS</t>
  </si>
  <si>
    <t>Article; Early Access</t>
  </si>
  <si>
    <t>cementitious composites; elephant skin-inspired; evaporative cooling; programmable fracture; substrate-guided cracking</t>
  </si>
  <si>
    <t>DIATOMITE; EVAPORATION; ABSORPTION</t>
  </si>
  <si>
    <t>Passive evaporation of water reduces a building's cooling energy demand. However, water is often wasted due to rebound, uneven spreading, and rapid drainage. Here, we present an elephant-skin-inspired crack network architecture in porous diatomaceous earth (DE)-cement composites to capture, route, and store water with minimal runoff. DE's micro/nanoporosity enables ultrafast (sub-50 ms) water imbibition, while crack networks act as capillary conduits that redistribute water across and up inclined surfaces. Substrate-guided stress concentration converts drying-induced stochastic fractures into deterministic crack lattices that route and retain water on inclined surfaces, enabling geometry-tunable, water-efficient evaporative cooling. Tiles of hexagonal lattices with intermediate crack density maximize lateral redistribution and delay drainage. Infrared imaging reveals edge-dominated evaporation, sustaining prolonged cooling. In a mockup home model covered with DE-cement tiles, under repeated water dosing and IR heating, the temperature beneath the DE-cement tiles is maintained at similar to 32 degrees C vs similar to 42 degrees C and similar to 52 degrees C for cracked and non-cracked commercial stucco, respectively. The study offers a simple, scalable route for passive cooling.</t>
  </si>
  <si>
    <t>[Huang, Qingya; Yu, Kun-Hao; Lee, Yunchan; Yang, Shu] Univ Penn, Dept Mat Sci &amp; Engn, Philadelphia, PA 19104 USA; [Bae, Ji Yoon; Aviv, Dorit] Univ Penn, Weitzman Sch Design, Dept Architecture, Philadelphia, PA USA</t>
  </si>
  <si>
    <t>Yu, KH; Yang, S (corresponding author), Univ Penn, Dept Mat Sci &amp; Engn, Philadelphia, PA 19104 USA.</t>
  </si>
  <si>
    <t>kyu131@syr.edu; shuyang@seas.upenn.edu</t>
  </si>
  <si>
    <t>Materials Research Science and Engineering Center, Harvard University [DMR-2309043]; U.S. Department of Energy - Advanced Research Projects Agency - Energy (ARPA-E)/ HESTIA program [DE-FOA-0002625]; Laboratory for Research on the Structure of Matter; National Science Foundation</t>
  </si>
  <si>
    <t>Materials Research Science and Engineering Center, Harvard University(Harvard University); U.S. Department of Energy - Advanced Research Projects Agency - Energy (ARPA-E)/ HESTIA program(United States Department of Energy (DOE)); Laboratory for Research on the Structure of Matter; National Science Foundation(National Science Foundation (NSF))</t>
  </si>
  <si>
    <t>The work is supported by the U.S. Department of Energy - Advanced Research Projects Agency - Energy (ARPA-E)/ HESTIA program (DE-FOA-0002625). The authors also acknowledge the helpful discussions with Wei Chen at Northwestern University and Zheng O'Neill at Texas A&amp;M University, and the use of SEM supported by the Laboratory for Research on the Structure of Matter (LRSM), the Materials Research Science and Engineering Center (DMR-2309043) at the University of Pennsylvania supported by National Science Foundation (NSF). Technical support for mechanical testing from Steve Szewczyk at the University of Pennsylvania is acknowledged.</t>
  </si>
  <si>
    <t>0935-9648</t>
  </si>
  <si>
    <t>1521-4095</t>
  </si>
  <si>
    <t>ADV MATER</t>
  </si>
  <si>
    <t>Adv. Mater.</t>
  </si>
  <si>
    <t>2026 APR 20</t>
  </si>
  <si>
    <t>10.1002/adma.202523133</t>
  </si>
  <si>
    <t>APR 2026</t>
  </si>
  <si>
    <t>Chemistry, Multidisciplinary; Chemistry, Physical; Nanoscience &amp; Nanotechnology; Materials Science, Multidisciplinary; Physics, Applied; Physics, Condensed Matter</t>
  </si>
  <si>
    <t>Chemistry; Science &amp; Technology - Other Topics; Materials Science; Physics</t>
  </si>
  <si>
    <t>GS1DI</t>
  </si>
  <si>
    <t>WOS:001743729800001</t>
  </si>
  <si>
    <t>Meng, AC; Cheng, PF; Kidambi, PR; Singh, N; Song, YY; Stach, EA</t>
  </si>
  <si>
    <t>Meng, Andrew C.; Cheng, Peifu; Kidambi, Piran R.; Singh, Nikhilendra; Song, Yuyang; Stach, Eric A.</t>
  </si>
  <si>
    <t>Characterization of iron-based alloy catalysts for atmospheric pressure chemical vapor deposition of carbon nanofibers via in situ transmission electron microscopy</t>
  </si>
  <si>
    <t>JOURNAL OF VACUUM SCIENCE &amp; TECHNOLOGY B</t>
  </si>
  <si>
    <t>Letter</t>
  </si>
  <si>
    <t>MOLECULAR-BEAM EPITAXY; STAINLESS-STEEL; GROWTH; NANOTUBES; PRETREATMENT; NUCLEATION; TEM</t>
  </si>
  <si>
    <t>Capturing the nucleation and growth of carbon nanotubes and nanofibers under atmospheric pressure conditions in real-time remains a significant challenge. We demonstrate the in situ atmospheric pressure chemical vapor deposition of carbon nanotubes and nanofibers in the transmission electron microscope (TEM) with ethylene. Using three different systems of iron-based catalysts, including two with alloying components, fundamental differences in carbon nanotube and nanofiber growth are observed. Incorporation of chromium, which is present in steel, and trace sodium, a low-temperature carbon nanotube growth catalyst, improves the robustness of growth by facilitating the reduction of the iron-based catalyst. Sodium-based salts act as desiccants and chromium getters oxygen to promote the formation of the metallic iron that is catalytically active. Structural characterization employing a combination of in situ TEM imaging and both in situ and ex situ EELS shows that the oxidation state of the catalyst plays an important role in the growth of carbon nanotubes. Reduction of the catalyst, which is oxidized from air exposure, remains the primary challenge of atmospheric pressure nanotube growth. In situ chemical vapor deposition has the potential to systematically investigate the problems of carbon nanotube growth nucleation and yield.</t>
  </si>
  <si>
    <t>[Meng, Andrew C.; Stach, Eric A.] Univ Penn, Dept Mat Sci &amp; Engn, Philadelphia, PA 19104 USA; [Meng, Andrew C.] Univ Missouri, Dept Phys &amp; Astron, Columbia, MO 65211 USA; [Cheng, Peifu; Kidambi, Piran R.] Vanderbilt Univ, Dept Chem &amp; Biomol Engn, Nashville, TN 37212 USA; [Singh, Nikhilendra; Song, Yuyang] Toyota Res Inst North Amer, Ann Arbor, MI 48105 USA; [Stach, Eric A.] Univ Penn, Lab Res Struct Matter, Philadelphia, PA 19104 USA</t>
  </si>
  <si>
    <t>University of Pennsylvania; University of Missouri System; University of Missouri Columbia; Vanderbilt University; Toyota Motor Corporation; University of Pennsylvania</t>
  </si>
  <si>
    <t>Meng, AC (corresponding author), Univ Penn, Dept Mat Sci &amp; Engn, Philadelphia, PA 19104 USA.;Meng, AC (corresponding author), Univ Missouri, Dept Phys &amp; Astron, Columbia, MO 65211 USA.</t>
  </si>
  <si>
    <t>acmeng@missouri.edu; stach@seas.upenn.edu</t>
  </si>
  <si>
    <t>; Meng, Andrew/HNJ-5807-2023; Stach, Eric/D-8545-2011</t>
  </si>
  <si>
    <t>Cheng, Peifu/0000-0001-6010-6411; Stach, Eric/0000-0002-3366-2153</t>
  </si>
  <si>
    <t>National Science Foundation10.13039/100000001; Toyota Research Institute of North America [NNCI-2025608]; NSF National Nanotechnology Coordinated Infrastructure Program [DMR-2309043]; NSF MRSEC Program [W911NF2310042]; U.S. Army Research Office</t>
  </si>
  <si>
    <t>National Science Foundation10.13039/100000001; Toyota Research Institute of North America; NSF National Nanotechnology Coordinated Infrastructure Program; NSF MRSEC Program(National Science Foundation (NSF)NSF - Directorate for Mathematical &amp; Physical Sciences (MPS)); U.S. Army Research Office</t>
  </si>
  <si>
    <t>The authors acknowledge funding from the Toyota Research Institute of North America. This work was carried out, in part, at the Singh Center for Nanotechnology, which is supported by the NSF National Nanotechnology Coordinated Infrastructure Program under Grant No. NNCI-2025608. Transmission electron microscopy was performed in facilities supported by the NSF MRSEC Program under Award No. DMR-2309043. P.R.K. acknowledges the U.S. Army Research Office support via Grant No. W911NF2310042.</t>
  </si>
  <si>
    <t>A V S AMER INST PHYSICS</t>
  </si>
  <si>
    <t>MELVILLE</t>
  </si>
  <si>
    <t>STE 1 NO 1, 2 HUNTINGTON QUADRANGLE, MELVILLE, NY 11747-4502 USA</t>
  </si>
  <si>
    <t>2166-2746</t>
  </si>
  <si>
    <t>2166-2754</t>
  </si>
  <si>
    <t>J VAC SCI TECHNOL B</t>
  </si>
  <si>
    <t>J. Vac. Sci. Technol. B</t>
  </si>
  <si>
    <t>JUL</t>
  </si>
  <si>
    <t>10.1116/6.0004664</t>
  </si>
  <si>
    <t>Engineering, Electrical &amp; Electronic; Nanoscience &amp; Nanotechnology; Physics, Applied</t>
  </si>
  <si>
    <t>Engineering; Science &amp; Technology - Other Topics; Physics</t>
  </si>
  <si>
    <t>4LC2V</t>
  </si>
  <si>
    <t>WOS:001520589500001</t>
  </si>
  <si>
    <t>Geometry of contraction-induced flows</t>
  </si>
  <si>
    <t>PHYSICAL REVIEW FLUIDS</t>
  </si>
  <si>
    <t>FLUID; PERISTALSIS; TRANSPORT; TUBES</t>
  </si>
  <si>
    <t>Peristalsis is the driving mechanism behind a broad array of biological and engineered flows. In peristaltic pumping, a wavelike contraction of the tube wall produces local changes in volume which induce flow. Net flow arises due to geometric nonlinearities in the momentum equation, which must be properly captured to compute the flow accurately. While most previous models focus on radius-imposed peristalsis, they often neglect longitudinal length changes-a natural consequence of radial contraction in elastic materials. In this paper, to capture a more accurate picture of peristaltic pumping, we calculate the flow in an elastic vessel undergoing contractions in the transverse and longitudinal directions simultaneously, keeping the geometric nonlinearities arising in the strain. A careful analysis requires us to study our fluid using the Lagrangian coordinates of the elastic tube. We perform analytic calculations of the flow characteristics by studying the fluid inside a fixed boundary with time-dependent metric. This mathematical manipulation works even for large-amplitude contractions, as we confirm by comparing our analytical results to COMSOL simulations. We demonstrate that transverse and longitudinal contractions induce instantaneous flows at the same order in wall strain but in opposite directions. We investigate the influence of the wall's Poisson ratio on the flow profile. Incompressible walls suppress flow by minimizing local volume changes, whereas auxetic walls enhance flow. For radius-imposed peristaltic waves, wall incompressibility reduces both reflux and particle trapping. In contrast, length-imposed waves typically generate backflow, although trapping can still occur at large amplitudes for some Poisson ratios. These results yield a more complete description of peristalsis in elastic media and offer a framework for studying contraction-induced flows more broadly.</t>
  </si>
  <si>
    <t>University of Pennsylvania Materials Research Science and Engineering Center (MRSEC) [DMR-2309043]; HFSP [RGP015/2023]; John Templeton Foundation [62846]</t>
  </si>
  <si>
    <t>University of Pennsylvania Materials Research Science and Engineering Center (MRSEC); HFSP(Human Frontier Science Program); John Templeton Foundation(John Templeton Foundation)</t>
  </si>
  <si>
    <t>This research was supported by the University of Pennsylvania Materials Research Science and Engineering Center (MRSEC) through Award No. DMR-2309043, HFSP Award No. RGP015/2023, and the John Templeton Foundation (Grant No. 62846).</t>
  </si>
  <si>
    <t>AMER PHYSICAL SOC</t>
  </si>
  <si>
    <t>COLLEGE PK</t>
  </si>
  <si>
    <t>ONE PHYSICS ELLIPSE, COLLEGE PK, MD 20740-3844 USA</t>
  </si>
  <si>
    <t>2469-990X</t>
  </si>
  <si>
    <t>PHYS REV FLUIDS</t>
  </si>
  <si>
    <t>Phys. Rev. Fluids</t>
  </si>
  <si>
    <t>MAR 12</t>
  </si>
  <si>
    <t>10.1103/pw9s-vvf4</t>
  </si>
  <si>
    <t>Physics, Fluids &amp; Plasmas</t>
  </si>
  <si>
    <t>Physics</t>
  </si>
  <si>
    <t>FH1CL</t>
  </si>
  <si>
    <t>WOS:001718607000001</t>
  </si>
  <si>
    <t>Kim, YC; Hoang, S; Winey, KI; Composto, RJ</t>
  </si>
  <si>
    <t>Kim, Ye Chan; Hoang, Son; Winey, Karen I.; Composto, Russell J.</t>
  </si>
  <si>
    <t>Size-Dependent Electrostatic Adsorption of Polymer-Grafted Gold Nanoparticles on Polyelectrolyte Brushes</t>
  </si>
  <si>
    <t>polyelectrolyte brushes; gold nanoparticles; electrostatic interaction; adsorption; size separation</t>
  </si>
  <si>
    <t>SEPARATION; BLOCK; SHAPE; PURIFICATION; NUCLEATION; SURFACES; DENSITY; PEG</t>
  </si>
  <si>
    <t>Designing a functional surface that selectively adsorbs nanoparticles based on their size and shape is essential for developing an advanced adsorption-based, postsynthesis nanoparticle separation device. We demonstrate selective adsorption of larger nanoparticles from solution onto a polyelectrolyte brush by tuning the salt concentration. Specifically, a positively charged polyelectrolyte brush is created by converting pyridine groups of poly(2-vinylpyridine) to n-methylpyridinium groups using methyl iodide. The adsorption kinetics and thermodynamics of poly(ethylene glycol)-grafted, negatively charged gold nanoparticles (diameters of 12 and 20 nm) were monitored as a function of salt concentration. In a salt-free solution, the polyelectrolyte brush adsorbs gold nanoparticles of both sizes. As the salinity increases, the areal number density of adsorbed nanoparticles monotonically decreases and becomes negligible at high salinity. Interestingly, there is an intermediate range of salt concentrations (i.e., 15-20 mM of NaCl) where the decrease in nanoparticle adsorption is more pronounced for smaller particles, leading to size-selective adsorption of the larger nanoparticles. As a further demonstration of selectivity, the polyelectrolyte brush is immersed in a binary mixture of 12 and 20 nm nanoparticles and found to selectively capture larger particles with similar to 90% selectivity. In addition, the size distribution of as-synthesized gold nanoparticles, with an average diameter of 12 nm, was reduced by selectively removing larger particles by exposing the solution to polyelectrolyte brush surfaces. This study demonstrates the potential of a polyelectrolyte brush separation device to remove larger nanoparticles by controlling electrostatic interactions between polymer brushes and particles.</t>
  </si>
  <si>
    <t>[Kim, Ye Chan; Hoang, Son; Winey, Karen I.; Composto, Russell J.] Univ Penn, Dept Mat Sci &amp; Engn, Philadelphia, PA 19104 USA; [Winey, Karen I.] Univ Penn, Dept Chem &amp; Biomol Engn, Philadelphia, PA 19104 USA</t>
  </si>
  <si>
    <t>Winey, KI; Composto, RJ (corresponding author), Univ Penn, Dept Mat Sci &amp; Engn, Philadelphia, PA 19104 USA.;Winey, KI (corresponding author), Univ Penn, Dept Chem &amp; Biomol Engn, Philadelphia, PA 19104 USA.</t>
  </si>
  <si>
    <t>winey@seas.upenn.edu; composto@seas.upenn.edu</t>
  </si>
  <si>
    <t>; Kim, Yechan/ITV-0007-2023; Winey, Karen/HJH-7326-2023; Hoang, Son/F-2795-2013</t>
  </si>
  <si>
    <t>Composto, Russell/0000-0002-5906-2594; Kim, Yechan/0000-0002-5122-9716; Winey, Karen/0000-0001-5856-3410;</t>
  </si>
  <si>
    <t>Division of Chemical, Bioengineering, Environmental, and Transport Systems [NSF-CBET-2034122]; National Science Foundation; Laboratory for Research on the Structure of Matter [DMR-2309043]; NSF through the University of Pennsylvania Materials Research Science and Engineering Center (MRSEC)</t>
  </si>
  <si>
    <t>Division of Chemical, Bioengineering, Environmental, and Transport Systems(National Science Foundation (NSF)NSF - Directorate for Engineering (ENG)); National Science Foundation(National Science Foundation (NSF)); Laboratory for Research on the Structure of Matter; NSF through the University of Pennsylvania Materials Research Science and Engineering Center (MRSEC)(National Science Foundation (NSF))</t>
  </si>
  <si>
    <t>R.J.C., K.I.W., S.H., and Y.C.K. acknowledge funding from the National Science Foundation (NSF-CBET-2034122). The authors acknowledge the use of facilities supported by the Laboratory for Research on the Structure of Matter and the NSF through the University of Pennsylvania Materials Research Science and Engineering Center (MRSEC) DMR-2309043. The authors also gratefully acknowledge Prof. Daeyeon Lee for supporting in situ ellipsometry and QCM-D experiments.</t>
  </si>
  <si>
    <t>OCT 26</t>
  </si>
  <si>
    <t>10.1021/acsami.4c14774</t>
  </si>
  <si>
    <t>L2H8U</t>
  </si>
  <si>
    <t>WOS:001343724300001</t>
  </si>
  <si>
    <t>Lee, Y; Nah, SH; Wang, KY; Chi, YD; Kim, JB; Zhang, ZY; Yang, S</t>
  </si>
  <si>
    <t>Lee, Yunchan; Nah, So Hee; Wang, Kun-Yu; Chi, Yinding; Kim, Jong Bin; Zhang, Ziyun; Yang, Shu</t>
  </si>
  <si>
    <t>Highly Scalable, Raspberry-Like Microbeads with Nano-/Micro-Confined Hybrid Hydrogel Desiccants for Rapid Atmospheric Water Harvesting</t>
  </si>
  <si>
    <t>ADVANCED FUNCTIONAL MATERIALS</t>
  </si>
  <si>
    <t>atmospheric water harvesting; hybrid hydrogel desiccant microbeads; nano-confined; pickering emulsion; spiral packing</t>
  </si>
  <si>
    <t>EFFICIENT; FILMS; AIR</t>
  </si>
  <si>
    <t>Harnessing atmospheric water offers a sustainable solution to address water scarcity. Hybrid hydrogel desiccants, composed of hygroscopic salts in hydrogel networks, are promising sorbents for atmospheric water harvesting (AWH) due to their excellent sorption capacity in a wide relative humidity (RH) range (10-95%) and high water retention. However, their slow sorption kinetics remain a major challenge, often requiring several hours to saturate. To address this, a highly scalable nano-/micro-confinement strategy is developed where polyacrylamide (PAM)-LiCl hybrid desiccants are confined within hollow nanoparticles (NPs), followed by assembly into raspberry-like microbeads with a NP-rich shell/hydrogel-rich core morphology via Pickering emulsion. The NP-rich shell increases surface area, while the hierarchical confinement of PAM-LiCl at the nanoscale (within NPs) and microscale (within the microbeads) effectively shortens the diffusion length. Hence, raspberry-like microbeads achieve 1.11 g g-1 water uptake at 21 degrees C and 65% RH within 60 min, reaching 80% saturation in 71 min-4.4 times faster than those without NPs. At 60 degrees C and 5% RH for 30 min, 13.6 L kg(-)(1) day(-)(1) of water is released over 16 absorption/desorption cycles. A solar-driven, sunflower seed-packing inspired AWH device is fabricated to maximize microbead loading while minimizing self-shadowing, achieving 2.39 L m(-)2 day(-)(1) water production.</t>
  </si>
  <si>
    <t>[Lee, Yunchan; Nah, So Hee; Wang, Kun-Yu; Chi, Yinding; Kim, Jong Bin; Zhang, Ziyun] Univ Penn, Dept Mat Sci &amp; Engn, 3231 Walnut St, Philadelphia, PA 19104 USA</t>
  </si>
  <si>
    <t>Lee, Y (corresponding author), Univ Penn, Dept Mat Sci &amp; Engn, 3231 Walnut St, Philadelphia, PA 19104 USA.</t>
  </si>
  <si>
    <t>Yang, Shu/D-9758-2011; Wang, Kunyu/AGM-0841-2022</t>
  </si>
  <si>
    <t>Chi, Yinding/0000-0003-2674-721X; Nah, So Hee/0000-0002-1564-201X; Kim, Jong Bin/0000-0002-6343-1532; Wang, Kunyu/0000-0001-8982-0547; Lee, Yunchan/0000-0002-1276-1830</t>
  </si>
  <si>
    <t>Vagelos Institute for Energy Science and Technology, University of Pennsylvania; Industrial Efficiency and Decarbonization on Office [DE-EE0009153]; U.S. Department of Energy [DMR-2309043]; Laboratory for Research on the Structure of Matter (LRSM); National Science Foundation (NSF) [NNCI-2025608]; NSF National Nanotechnology Coordinated Infrastructure Program; Vagelos Institute Postdoctoral Fellowship; Vagelos Institute for Energy Science and Technology (VIEST) at the University of Pennsylvania</t>
  </si>
  <si>
    <t>Vagelos Institute for Energy Science and Technology, University of Pennsylvania; Industrial Efficiency and Decarbonization on Office; U.S. Department of Energy(United States Department of Energy (DOE)); Laboratory for Research on the Structure of Matter (LRSM); National Science Foundation (NSF)(National Science Foundation (NSF)); NSF National Nanotechnology Coordinated Infrastructure Program; Vagelos Institute Postdoctoral Fellowship; Vagelos Institute for Energy Science and Technology (VIEST) at the University of Pennsylvania</t>
  </si>
  <si>
    <t>The research reported here is sponsored by the Industrial Efficiency and Decarbonization on Office (IEDO) at the U.S. Department of Energy under the award number DE-EE0009153. The views and opinions of authors expressed herein do not necessarily state or reflect those of the United States Government or any agency thereof. Certain commercial equipment, instruments, or materials are identified in this paper in order to specify the experimental procedure adequately. Such identification is not intended to imply recommendation or endorsement by the U.S. Department of Energy, nor is it intended to imply that the materials or equipment identified are necessarily the best available for the purpose. The authors acknowledge Wenqin Wang at The Dow Chemical Company for providing free samples of Ropaque Ultra EF to us. The authors also acknowledge the use of SEM, EDS, and Raman supported by the Laboratory for Research on the Structure of Matter (LRSM), the Materials Research Science and Engineering Center (DMR-2309043) at the University of Pennsylvania supported by the National Science Foundation (NSF). This work was carried out in part at the Singh Center for Nanotechnology, which is supported by the NSF National Nanotechnology Coordinated Infrastructure Program under grant NNCI-2025608. K.W. acknowledges the funding support from the Vagelos Institute Postdoctoral Fellowship provided by the Vagelos Institute for Energy Science and Technology (VIEST) at the University of Pennsylvania.</t>
  </si>
  <si>
    <t>1616-301X</t>
  </si>
  <si>
    <t>1616-3028</t>
  </si>
  <si>
    <t>ADV FUNCT MATER</t>
  </si>
  <si>
    <t>Adv. Funct. Mater.</t>
  </si>
  <si>
    <t>10.1002/adfm.202506725</t>
  </si>
  <si>
    <t>JUN 2025</t>
  </si>
  <si>
    <t>D7986</t>
  </si>
  <si>
    <t>WOS:001499897700001</t>
  </si>
  <si>
    <t>Choi, JH; Lee, HH; Jeon, S; Sarker, S; Kim, DS; Stach, EA; Cho, HK</t>
  </si>
  <si>
    <t>Choi, Ji Hoon; Lee, Hak Hyeon; Jeon, Sungho; Sarker, Swagotom; Kim, Dong Su; Stach, Eric A.; Cho, Hyung Koun</t>
  </si>
  <si>
    <t>Photoilluminated Redox-Processed Rh2P Nanoparticles on Photocathodes for Stable Hydrogen Production in Acidic Environments</t>
  </si>
  <si>
    <t>photoelectrochemical water-splitting; Rh2P catalyst; acidic electrolyte; hydrogen evolutionreaction; in situ STEM</t>
  </si>
  <si>
    <t>EVOLUTION REACTION; ELECTROCATALYSTS; PHOSPHIDE; CATALYSTS; LAYER; OXIDE; BEAM; TEM</t>
  </si>
  <si>
    <t>While photoelectrochemical (PEC) cells show promise for solar-driven green hydrogen production, exploration of various light-absorbing multilayer coatings has yet to significantly enhance their hydrogen generation efficiency. Acidic conditions can enhance the hydrogen evolution reaction (HER) kinetics and reduce overpotential losses. However, prolonged acidic exposure deactivates noble metal electrocatalysts, hindering their long-term stability. Progress requires addressing catalyst degradation to enable stable, efficient, and acidic PEC cells. Here, we proposed a process design based on the photoilluminated redox deposition (PRoD) approach. We use this to grow crystalline Rh2P nanoparticles (NPs) with a size of 5-10 on 30 nm-thick TiO2, without annealing. Atomically precise reaction control was performed by using several cyclic voltammetry cycles coincident with light irradiation to create a system with optimal catalytic activity. The optimized photocathode, composed of Rh2P/TiO2/Al-ZnO/Cu2O/Sb-Cu2O/ITO, achieved an excellent photocurrent density of 8.2 mA cm(-2) at 0 V-RHE and a durable water-splitting reaction in a strong acidic solution. Specifically, the Rh2P-loaded photocathode exhibited a 5.3-fold enhancement in mass activity compared to that utilizing just a Rh catalyst. Furthermore, in situ scanning transmission electron microscopy (STEM) was performed to observe the real-time growth process of Rh2P NPs in a liquid cell.</t>
  </si>
  <si>
    <t>[Choi, Ji Hoon; Lee, Hak Hyeon; Sarker, Swagotom; Kim, Dong Su; Cho, Hyung Koun] Sungkyunkwan Univ, Sch Adv Mat Sci &amp; Engn, Suwon 16419, Gyeonggi Do, South Korea; [Choi, Ji Hoon; Jeon, Sungho; Stach, Eric A.] Univ Penn, Dept Mat Sci &amp; Engn, Philadelphia, PA 19104 USA</t>
  </si>
  <si>
    <t>Cho, HK (corresponding author), Sungkyunkwan Univ, Sch Adv Mat Sci &amp; Engn, Suwon 16419, Gyeonggi Do, South Korea.</t>
  </si>
  <si>
    <t>김, 동수/IAN-1770-2023; Cho, Hyung Koun/P-2007-2017; Jeon, Sungho/ACN-4868-2022; Stach, Eric/D-8545-2011</t>
  </si>
  <si>
    <t>Cho, Hyung Koun/0000-0003-0861-523X; Jeon, Sungho/0000-0002-2262-6819; Stach, Eric/0000-0002-3366-2153; Choi, Ji Hoon/0000-0002-2189-3851</t>
  </si>
  <si>
    <t>National Research Foundation of Korea [2021R1A2C3011870]; National Research Foundation of Korea (NRF) - Korea government (MSIT) [2019R1A6A1A03033215]; National Research Foundation of Korea (NRF) - Ministry of Education [NNCI-2025608]; NSF National Nanotechnology Coordinated Infrastructure Program [DMR-2309043]; University of Pennsylvania Materials Research Science and Engineering Center (MRSEC)</t>
  </si>
  <si>
    <t>National Research Foundation of Korea(National Research Foundation of Korea); National Research Foundation of Korea (NRF) - Korea government (MSIT)(National Research Foundation of KoreaMinistry of Science, ICT &amp; Future Planning, Republic of KoreaMinistry of Science &amp; ICT (MSIT), Republic of Korea); National Research Foundation of Korea (NRF) - Ministry of Education(National Research Foundation of KoreaMinistry of Education (MOE), Republic of Korea); NSF National Nanotechnology Coordinated Infrastructure Program; University of Pennsylvania Materials Research Science and Engineering Center (MRSEC)</t>
  </si>
  <si>
    <t>This work was supported by the National Research Foundation of Korea (NRF) grant funded by the Korea government (MSIT) (2021R1A2C3011870). This research was also supported by the National Research Foundation of Korea (NRF) funded by the Ministry of Education (2019R1A6A1A03033215). This work was carried out in part at the Singh Center for Nanotechnology, which is supported by the NSF National Nanotechnology Coordinated Infrastructure Program under grant NNCI-2025608 and through the use of facilities supported by the University of Pennsylvania Materials Research Science and Engineering Center (MRSEC) DMR-2309043.</t>
  </si>
  <si>
    <t>APR 17</t>
  </si>
  <si>
    <t>10.1021/acsami.4c02147</t>
  </si>
  <si>
    <t>APR 2024</t>
  </si>
  <si>
    <t>TG7J2</t>
  </si>
  <si>
    <t>WOS:001204975200001</t>
  </si>
  <si>
    <t>Hangarter, CM; Rus, ED; Liu, Y; Shin, JW; Oleshko, VP; Ro, HW; Composto, RJ; Soles, C; Dura, JA; Stafford, G; Bendersky, LA; Moffat, TP</t>
  </si>
  <si>
    <t>Hangarter, C. M.; Rus, E. D.; Liu, Y.; Shin, J. W.; Oleshko, V. P.; Ro, H. W.; Composto, R. J.; Soles, C.; Dura, J. A.; Stafford, G.; Bendersky, L. A.; Moffat, T. P.</t>
  </si>
  <si>
    <t>Dealloyed Pt74Ni26 and Pt26Ni74 Electrodeposited Thin Film Electrocatalysts for Oxygen Reduction</t>
  </si>
  <si>
    <t>JOURNAL OF THE ELECTROCHEMICAL SOCIETY</t>
  </si>
  <si>
    <t>electrocatalysis; electrodeposition; etching - electrochemical; films; fuel cells</t>
  </si>
  <si>
    <t>IN-SITU STRESS; PT-NI; COMPOSITIONAL CONTROL; PLATINUM FILMS; SURFACE STRESS; FUEL-CELLS; DEPOSITION; DISSOLUTION; CATALYSTS; STRAIN</t>
  </si>
  <si>
    <t>Electrodeposition and microstructure of thin films close to Pt75Ni25 and Pt25Ni75 stoichiometry are described and their catalytic oxygen reduction reaction performance, dealloying, and strain evolution detailed. Multiple techniques are used to characterize the morphology, crystalline structure, and chemical homogeneity of the as-deposited and dealloyed films. A fine-scale percolating network of lower-density regions is evident in the as-deposited Pt74Ni26 films while the as-deposited Pt26Ni74 films are more homogenous and compact. Electrodeposition is accompanied by development of significant in-plane tensile stress that increases at more negative growth potentials to reach 1.28 GPa for as-deposited Pt26Ni74. Dealloying of the near-surface regions of Pt74Ni26 is accompanied by limited expansion or opening of the low-density regions while massive dealloying of the highly stressed Pt26Ni74 results in shrinkage, extensive cracking, and formation of a bi-continuous nanoporous structure with an average pore diameter close to 5 nm. Relative to electrodeposited Pt, the alloy films exhibit enhanced area-specific oxygen reduction reaction activity (at 0.95 V vs RHE, iR-corrected) that amounts to a factor of 3.4 for dealloyed Pt74Ni26 and 5.1 for dealloyed Pt26Ni74 while the Pt-based mass activity increased by a factor of 5.1 and 12.3, for the respective films.</t>
  </si>
  <si>
    <t>[Hangarter, C. M.; Rus, E. D.; Liu, Y.; Shin, J. W.; Oleshko, V. P.; Ro, H. W.; Soles, C.; Stafford, G.; Bendersky, L. A.; Moffat, T. P.] Mat Sci &amp; Engn Div, Mat Measurement Lab, Gaithersburg, MD 20899 USA; [Composto, R. J.] Univ Penn, Dept Mat Sci &amp; Engn, Philadelphia, PA 19104 USA; [Dura, J. A.] Natl Inst Stand &amp; Technol, NIST Ctr Neutron Res, Gaithersburg, MD 20899 USA; [Hangarter, C. M.; Rus, E. D.; Liu, Y.; Shin, J. W.; Oleshko, V. P.; Ro, H. W.; Soles, C.; Stafford, G.; Bendersky, L. A.; Moffat, T. P.] Naval Res Lab, Washington, DC USA; [Composto, R. J.] Lam Res, Portland, OR USA; [Dura, J. A.] PPG Ind Inc, Allison Pk, PA USA</t>
  </si>
  <si>
    <t>University of Pennsylvania; National Institute of Standards &amp; Technology (NIST) - USA; United States Department of Defense; United States Navy; United States Naval Research Laboratory; Lam Research Corporation</t>
  </si>
  <si>
    <t>Moffat, TP (corresponding author), Mat Sci &amp; Engn Div, Mat Measurement Lab, Gaithersburg, MD 20899 USA.</t>
  </si>
  <si>
    <t>thomas.moffat@nist.gov</t>
  </si>
  <si>
    <t>Dura, Joseph/B-8452-2008; Oleshko, Vladimir P/A-6250-2014; Hangarter, Carlos/MIU-5474-2025</t>
  </si>
  <si>
    <t>Stafford, Gery/0000-0003-3445-9402; Oleshko, Vladimir P/0000-0003-0538-2354; Soles, Christopher/0000-0002-1963-6039; Composto, Russell/0000-0002-5906-2594; Hangarter, Carlos/0000-0002-7149-0903</t>
  </si>
  <si>
    <t>NIST-NRC Postdoctoral Research Associateships Program; NIST [SB134110SE0579, SB13411RQ0247, NSF-MRSEC-DMR-2309043]; National Institute of Standards and Technology</t>
  </si>
  <si>
    <t>NIST-NRC Postdoctoral Research Associateships Program; NIST(National Institute of Standards &amp; Technology (NIST) - USA); National Institute of Standards and Technology(National Institute of Standards &amp; Technology (NIST) - USA)</t>
  </si>
  <si>
    <t>Carlos Hangarter and Yihua Liu acknowledge the support of the NIST-NRC Postdoctoral Research Associateships Program, and Vladimir Oleshko acknowledges the support from NIST under contracts SB134110SE0579 and SB13411RQ0247. The authors acknowledge use of the ion beam facility operated by the Laboratory for Research on the Structure of Matter at the University of Pennsylvania (NSF-MRSEC-DMR-2309043). The authors declare no competing financial interests. Official contribution of the National Institute of Standards and Technology; not subject to copyright in the United States.</t>
  </si>
  <si>
    <t>ELECTROCHEMICAL SOC INC</t>
  </si>
  <si>
    <t>PENNINGTON</t>
  </si>
  <si>
    <t>65 SOUTH MAIN STREET, PENNINGTON, NJ 08534 USA</t>
  </si>
  <si>
    <t>0013-4651</t>
  </si>
  <si>
    <t>1945-7111</t>
  </si>
  <si>
    <t>J ELECTROCHEM SOC</t>
  </si>
  <si>
    <t>J. Electrochem. Soc.</t>
  </si>
  <si>
    <t>MAY 1</t>
  </si>
  <si>
    <t>10.1149/1945-7111/ad4310</t>
  </si>
  <si>
    <t>Electrochemistry; Materials Science, Coatings &amp; Films</t>
  </si>
  <si>
    <t>Electrochemistry; Materials Science</t>
  </si>
  <si>
    <t>SP9U1</t>
  </si>
  <si>
    <t>WOS:001235779700001</t>
  </si>
  <si>
    <t>Prott, LS; Gierthmuehlen, PC; Blatz, MB; Zhang, Y</t>
  </si>
  <si>
    <t>Prott, Lea S.; Gierthmuehlen, Petra C.; Blatz, Markus B.; Zhang, Yu</t>
  </si>
  <si>
    <t>Failure Prediction of Lithium Disilicate and Composition-Gradient Multilayered Zirconia Occlusal Veneers: A Fractographic and Theoretical Analysis</t>
  </si>
  <si>
    <t>MATERIALS</t>
  </si>
  <si>
    <t>occlusal veneer; ceramic thickness; fatigue fracture; fracture mechanics; zirconia; lithium disilicate</t>
  </si>
  <si>
    <t>CERAMICS; FRACTURE</t>
  </si>
  <si>
    <t>This in vitro study aimed to evaluate the fatigue behavior of occlusal veneers (OVs) made of lithium disilicate and composition-gradient multilayered zirconia at different thicknesses, incorporating both experimental and theoretical analyses to predict long-term performance. Seventy-two OVs with ceramic layer thicknesses of 0.5 mm, 1.0 mm, and 1.5 mm were fabricated and adhesively bonded to dentin analog composite abutments. All specimens underwent thermomechanical fatigue testing, involving cyclic loading (49 N, 1.6 Hz, 1.2 million cycles) and thermocycling (5-55 degrees C), simulating five years of clinical function. Fracture patterns were analyzed using light microscopy and scanning electron microscopy. A fatigue lifetime model based on plate-on-foundation theory and slow crack growth was applied to estimate cycles to radial failure. No complete fractures or debonding occurred. However, 50% of 0.5 mm zirconia OVs developed flexural radial cracks from the intaglio surface, while all lithium disilicate and zirconia veneers &gt;= 1.0 mm remained intact. Theoretical predictions closely matched the experimental outcomes, indicating that 0.5 mm zirconia performance aligned with the lower-bound fatigue estimates for 5Y-PSZ. Results suggest that lithium disilicate offers superior fatigue resistance at minimal thickness, while thin zirconia is prone to subsurface cracking. A minimum thickness of 0.7 mm is recommended for zirconia-based OVs.</t>
  </si>
  <si>
    <t>[Prott, Lea S.; Blatz, Markus B.; Zhang, Yu] Univ Penn, Dept Prevent &amp; Restorat Sci, Penn Dent Med, Philadelphia, PA 19104 USA; [Prott, Lea S.; Gierthmuehlen, Petra C.] Heinrich Heine Univ, Med Fac, Dept Prosthodont, D-40225 Dusseldorf, Germany; [Prott, Lea S.; Gierthmuehlen, Petra C.] Heinrich Heine Univ, Univ Hosp Dusseldorf, D-40225 Dusseldorf, Germany</t>
  </si>
  <si>
    <t>University of Pennsylvania; Heinrich Heine University Dusseldorf; Heinrich Heine University Dusseldorf; Heinrich Heine University Dusseldorf Hospital</t>
  </si>
  <si>
    <t>Prott, LS (corresponding author), Univ Penn, Dept Prevent &amp; Restorat Sci, Penn Dent Med, Philadelphia, PA 19104 USA.;Prott, LS (corresponding author), Heinrich Heine Univ, Med Fac, Dept Prosthodont, D-40225 Dusseldorf, Germany.;Prott, LS (corresponding author), Heinrich Heine Univ, Univ Hosp Dusseldorf, D-40225 Dusseldorf, Germany.</t>
  </si>
  <si>
    <t>leaprott@upenn.edu; petra.gierthmuehlen@med.uni-duesseldorf.de; mblatz@upenn.edu; yz21@upenn.edu</t>
  </si>
  <si>
    <t>; Blatz, Markus/KIK-5323-2024</t>
  </si>
  <si>
    <t>Prott, Lea Sophia/0000-0003-0792-0830; Zhang, Yu/0000-0002-6738-3769; Gierthmuehlen, Petra Christine/0000-0002-4837-2546</t>
  </si>
  <si>
    <t>Ivoclar Vivadent [R01DE033545, R01DE026772]; Ivoclar Vivadent and the U.S. National Institutes of Health/National Institute of Dental and Craniofacial Research [NNCI-2025608]; NSF National Nanotechnology Coordinated Infrastructure Program [DMR-2309043]; University of Pennsylvania Materials Research Science and Engineering Center (MRSEC)</t>
  </si>
  <si>
    <t>Ivoclar Vivadent; Ivoclar Vivadent and the U.S. National Institutes of Health/National Institute of Dental and Craniofacial Research; NSF National Nanotechnology Coordinated Infrastructure Program; University of Pennsylvania Materials Research Science and Engineering Center (MRSEC)</t>
  </si>
  <si>
    <t>This work was supported by Ivoclar Vivadent and the U.S. National Institutes of Health/National Institute of Dental and Craniofacial Research (grant numbers R01DE033545 and R01DE026772). The SEM examination was carried out at the Singh Center for Nanotechnology, which is supported by the NSF National Nanotechnology Coordinated Infrastructure Program under grant NNCI-2025608 and through the use of facilities supported by the University of Pennsylvania Materials Research Science and Engineering Center (MRSEC) DMR-2309043.</t>
  </si>
  <si>
    <t>MDPI</t>
  </si>
  <si>
    <t>BASEL</t>
  </si>
  <si>
    <t>MDPI AG, Grosspeteranlage 5, CH-4052 BASEL, SWITZERLAND</t>
  </si>
  <si>
    <t>1996-1944</t>
  </si>
  <si>
    <t>Materials</t>
  </si>
  <si>
    <t>SEP 12</t>
  </si>
  <si>
    <t>10.3390/ma18184287</t>
  </si>
  <si>
    <t>Chemistry, Physical; Materials Science, Multidisciplinary; Metallurgy &amp; Metallurgical Engineering; Physics, Applied; Physics, Condensed Matter</t>
  </si>
  <si>
    <t>Chemistry; Materials Science; Metallurgy &amp; Metallurgical Engineering; Physics</t>
  </si>
  <si>
    <t>7VO6F</t>
  </si>
  <si>
    <t>WOS:001580691900001</t>
  </si>
  <si>
    <t>Wang, K; Winey, KI</t>
  </si>
  <si>
    <t>Nanoparticle Diffusion in Crowded Polymer Nanocomposite Melts</t>
  </si>
  <si>
    <t>ACS MACRO LETTERS</t>
  </si>
  <si>
    <t>MACROMOLECULAR DIFFUSION; MUTUAL DIFFUSION; DYNAMICS; LAYER; DISPERSION; NANORODS; SOLVENT; MATRIX</t>
  </si>
  <si>
    <t>This study examines nanoparticle diffusion in crowded polymer nanocomposites by diffusing small Al2O3 nanoparticles (NPs) in SiO2-loaded P2VP matrices. Time-of-flight secondary ion mass spectroscopy (ToF-SIMS) measures Al2O3 NP diffusion coefficients within a homogeneous PNC background of larger, immobile SiO2 NPs. By developing a geometric model for the average interparticle distance in a system with two NP sizes, we quantify nanocomposite confinement relative to the Al2O3 NP size with a bound layer. At low SiO2 concentrations, Al2O3 NP diffusion aligns with the neat polymer results. In more crowded nanocomposites with higher SiO2 concentrations where the interparticle distance approaches the size of the mobile Al2O3 NP, the 6.5 nm Al2O3 NPs diffuse faster than predicted by both core-shell and vehicular diffusion models. Relative to our previous studies of NPs diffusing into polymers, these findings demonstrate that the local environment in crowded systems significantly complicates NP diffusion behavior and the bound layer lifetimes.</t>
  </si>
  <si>
    <t>[Wang, Kaitlin; Winey, Karen I.] Univ Penn, Dept Mat Sci &amp; Engn, Philadelphia, PA 19104 USA; [Winey, Karen I.] Univ Penn, Dept Chem &amp; Biomol Engn, Philadelphia, PA 19104 USA; [Winey, Karen I.] Lab Res Struct Matter, 3231 Walnut St, Philadelphia, PA 19104 USA</t>
  </si>
  <si>
    <t>Winey, KI (corresponding author), Univ Penn, Dept Mat Sci &amp; Engn, Philadelphia, PA 19104 USA.;Winey, KI (corresponding author), Univ Penn, Dept Chem &amp; Biomol Engn, Philadelphia, PA 19104 USA.;Winey, KI (corresponding author), Lab Res Struct Matter, 3231 Walnut St, Philadelphia, PA 19104 USA.</t>
  </si>
  <si>
    <t>Winey, Karen/HJH-7326-2023</t>
  </si>
  <si>
    <t>Winey, Karen/0000-0001-5856-3410; Wang, Kaitlin/0000-0003-2459-8767</t>
  </si>
  <si>
    <t>NSF [CBET 2034122, NRT 2152205]; NSF-MRSEC [DMR-2309043]</t>
  </si>
  <si>
    <t>NSF(National Science Foundation (NSF)); NSF-MRSEC(National Science Foundation (NSF)NSF - Directorate for Mathematical &amp; Physical Sciences (MPS))</t>
  </si>
  <si>
    <t>We acknowledge funding from NSF CBET 2034122 and NSF-NRT 2152205. We thank Dr. Jamie Ford at the Singh Center for Nanotechnology at the University of Pennsylvania for his expertise regarding ToF-SIMS, supported by NSF-MRSEC-DMR-2309043.</t>
  </si>
  <si>
    <t>2161-1653</t>
  </si>
  <si>
    <t>ACS MACRO LETT</t>
  </si>
  <si>
    <t>ACS Macro Lett.</t>
  </si>
  <si>
    <t>SEP 17</t>
  </si>
  <si>
    <t>10.1021/acsmacrolett.4c00438</t>
  </si>
  <si>
    <t>AUG 2024</t>
  </si>
  <si>
    <t>GX9MZ</t>
  </si>
  <si>
    <t>WOS:001300386100001</t>
  </si>
  <si>
    <t>Wattana, R; Park, D; Osuji, CO</t>
  </si>
  <si>
    <t>Wattana, Ravisara; Park, Daehwan; Osuji, Chinedum O.</t>
  </si>
  <si>
    <t>Ion specific effects on the rheology of cellulose nanofibrils in the presence of salts</t>
  </si>
  <si>
    <t>AQUEOUS SUSPENSIONS; PERSISTENCE LENGTH; PHASE-BEHAVIOR; HOFMEISTER; TRANSITION; MONOVALENT; DIVALENT; STRENGTH; POLYELECTROLYTES; MICROCAPSULES</t>
  </si>
  <si>
    <t>Cellulose nanofibrils (CNFs) are high-aspect-ratio semiflexible filaments that can modify the rheology of fluids in which they are suspended. This work addresses the role of ionic strength in the rheology of CNF suspensions and the ion-specific nature of such rheology. Salt-free CNF suspensions exhibit viscoelastic, shear-thinning behavior. The concentration dependences of the storage modulus and specific viscosity exhibit similar power-law relationships in two regimes, G ' similar to eta sp similar to ca, with exponents of a approximate to 1 and a approximate to 5 below and above, respectively, a critical concentration of roughly 0.5 wt% that delineates dilute and semi-dilute characteristics. In the semi-dilute regime, salt addition increases the elastic modulus due to increased filament-filament association enabled by electrostatic screening of the repulsive interactions between weakly charged filaments. In the dilute regime, the intrinsic viscosity decreases with ionic strength, reflecting the adoption of more compact conformations at the single-filament level due to screened electrostatics. At a fixed ionic strength, both storage modulus and intrinsic viscosity show a marked dependence on ion identity, for which ion hydration enthalpy is used as a proxy. The storage modulus decreases with the enthalpy of hydration, whereas the intrinsic viscosity increases. Notably, the orderings of both parameters mimic the ion sequence of the Hofmeister series. This highlights a strong correlation between the ability of different ions to modify the hydrogen-bonding-network structure of water and their ability to screen inter- and intra-filament electrostatic interactions. This work provides new insight into ion-specific effects in CNF suspension rheology that can be used to rationally modify the properties of CNF-based complex fluids.</t>
  </si>
  <si>
    <t>[Wattana, Ravisara] Univ Penn, Dept Mat Sci &amp; Engn, Philadelphia, PA 19104 USA; [Park, Daehwan] Jeju Natl Univ, Dept Chem &amp; Cosmet, 102 Jejudaehak Ro, Jeju Si 63234, Jeju Do, South Korea; [Osuji, Chinedum O.] Univ Penn, Dept Chem &amp; Biomol Engn, Philadelphia, PA 19104 USA</t>
  </si>
  <si>
    <t>University of Pennsylvania; Jeju National University; University of Pennsylvania</t>
  </si>
  <si>
    <t>Wattana, Ravisara/0009-0006-6280-8410</t>
  </si>
  <si>
    <t>National Science Foundation; Royal Thai Government Scholarship [CMMI-1548571]; Center for Engineering MechanoBiology (CEMB) under the National Science Foundation (NSF); National University Development Project grant of Jeju National University - Ministry of Education of the Republic of Korea; Martin Rios [NNCI-2025608]; NSF [DMR-2309043]; University of Pennsylvania Materials Research Science and Engineering Center (MRSEC)</t>
  </si>
  <si>
    <t>National Science Foundation(National Science Foundation (NSF)); Royal Thai Government Scholarship; Center for Engineering MechanoBiology (CEMB) under the National Science Foundation (NSF); National University Development Project grant of Jeju National University - Ministry of Education of the Republic of Korea; Martin Rios; NSF(National Science Foundation (NSF)); University of Pennsylvania Materials Research Science and Engineering Center (MRSEC)</t>
  </si>
  <si>
    <t>R. W. and C. O. O. acknowledge financial support from the Royal Thai Government Scholarship, and the Center for Engineering MechanoBiology (CEMB) under the National Science Foundation (NSF) grant number CMMI-1548571 at the University of Pennsylvania. D. P. acknowledges support on this work from the 2025 National University Development Project grant of Jeju National University funded by the Ministry of Education of the Republic of Korea. We extend our appreciation to Martin Rios, a participant in the 2022 Summer Research Experience for Teachers (RET) program, for assisting with initial data collection on the viscometer. We acknowledge the use of facilities supported by NSF grant number NNCI-2025608 at the Singh Center for Nanotechnology and the University of Pennsylvania Materials Research Science and Engineering Center (MRSEC) under grant number DMR-2309043. We would also like to thank Dr. Jedtanut Thussananutiyakul and Dr. Kyle Vining for their assistance in providing the zeta potential measurements.</t>
  </si>
  <si>
    <t>JUN 11</t>
  </si>
  <si>
    <t>10.1039/d5sm00339c</t>
  </si>
  <si>
    <t>MAY 2025</t>
  </si>
  <si>
    <t>3OY2C</t>
  </si>
  <si>
    <t>WOS:001492437600001</t>
  </si>
  <si>
    <t>Li, SS; Yu, KH; Garcia, I; Nah, SH; Chui, HNT; Tian, ZT; Yang, S</t>
  </si>
  <si>
    <t>Li, Shangsong; Yu, Kun-Hao; Garcia, Isabel; Nah, So Hee; Chui, Hiu Ning Tiffany; Tian, Ziting; Yang, Shu</t>
  </si>
  <si>
    <t>Direct Ink Writing of Cephalopod Skin-Like Core-Shell Fibers From Cholesteric Liquid Crystal Elastomers and Dyed Solutions</t>
  </si>
  <si>
    <t>camouflage; cholesteric liquid crystal elastomer; core-shell fiber; direct ink writing; structural colors</t>
  </si>
  <si>
    <t>Direct ink writing (DIW) of core-shell structures allows for patterning hollow or composite structures for shape morphing and color displays. Cholesteric liquid crystal elastomers (CLCEs) with liquid crystal mesogens assembled in a helix superstructure are attractive for generating tunable iridescent structural colors. Here, by fine-tuning the rheology of the core and shell materials, respectively, this study creates droplets or a continuous filament in the core from the precursors of polydimethylsiloxane (PDMS) or poly(vinyl alcohol), whereas CLCE forms the outer shell. By introducing a dye in the droplets, the skin structures of cephalopods, consisting of chromatophores and iridocytes, are mimicked for enhanced color saturation, lightness, and camouflage. After removal of the core material, a CLCE hollow fiber is obtained, which can switch colors upon mechanical stretching and pneumatic actuation, much like papilla along with iridocytes. Further, liquid crystal mesogens assembled in the bulk of the fiber are in polydomain. Thus, the skin appears opalescent at room temperature, much like how leucophores enhance reflectins. Upon heating above the nematic to isotropic transition temperature, the skin becomes transparent. Lastly, a cephalopod model is constructed, where different parts of the model can change colors independently based on different mechanisms. Color switching core-shell fibers are created by coaxial direct ink writing of cholesteric liquid crystal elastomers (CLCEs) as the shell and a dyed solution as the core, where the core morphology can be tuned between droplets and continuous filaments to mimic the color enhancement of chromatophores and iridocytes in cephalopods, whereas a hollow CLCE fiber can be pneumatically actuated to mimic papillae in cephalopods. image</t>
  </si>
  <si>
    <t>[Li, Shangsong; Yu, Kun-Hao; Garcia, Isabel; Nah, So Hee; Chui, Hiu Ning Tiffany; Tian, Ziting; Yang, Shu] Univ Penn, Dept Mat Sci &amp; Engn, 3231 Walnut St, Philadelphia, PA 19104 USA</t>
  </si>
  <si>
    <t>Yang, S (corresponding author), Univ Penn, Dept Mat Sci &amp; Engn, 3231 Walnut St, Philadelphia, PA 19104 USA.</t>
  </si>
  <si>
    <t>; Yu, Kun-Hao/MIJ-8365-2025; Yang, Shu/D-9758-2011; Garcia, Isabel/B-2193-2009</t>
  </si>
  <si>
    <t>Nah, So Hee/0000-0002-1564-201X; Li, Shangsong/0000-0003-4660-3117; Yu, Kun-Hao/0000-0003-2306-1175;</t>
  </si>
  <si>
    <t>National Science Foundation; National Science Foundation (NSF) Future Eco Manufacturing Research Grant [CMMI 2037097, DMR-2104841]; [DMR-2309043]</t>
  </si>
  <si>
    <t>National Science Foundation(National Science Foundation (NSF)); National Science Foundation (NSF) Future Eco Manufacturing Research Grant(National Science Foundation (NSF));</t>
  </si>
  <si>
    <t>This research is supported by the National Science Foundation (NSF) Future Eco Manufacturing Research Grant (FMRG, #CMMI 2037097) and the DMR/POL program (#DMR-2104841). The authors also acknowledge the use of SEM instruments and the Dual Source and Environmental X-ray Scattering facility supported by the National Science Foundation and Materials Research Science and Engineering Center (DMR-2309043) at the University of Pennsylvania. The authors appreciate the help of Dr. Shravan Pradeep for rheology tests.</t>
  </si>
  <si>
    <t>JAN</t>
  </si>
  <si>
    <t>10.1002/adfm.202413965</t>
  </si>
  <si>
    <t>U2B3G</t>
  </si>
  <si>
    <t>WOS:001336348300001</t>
  </si>
  <si>
    <t>Kim, JB; Li, SS; Wang, KY; Chi, YD; Yang, S</t>
  </si>
  <si>
    <t>Kim, Jong Bin; Li, Shangsong; Wang, Kun-Yu; Chi, Yinding; Yang, Shu</t>
  </si>
  <si>
    <t>Multi-Mode Mechanochromic Responses from Cholesteric Liquid Crystal Elastomer Tubes of Uniform Sheath</t>
  </si>
  <si>
    <t>cholesteric liquid crystal elastomers; displays; mechanochromism; structural colors; tube</t>
  </si>
  <si>
    <t>SEMIINFINITE BUBBLE; PHOTONIC CRYSTALS; MOTION</t>
  </si>
  <si>
    <t>Materials that exhibit varied optical responses to different modes of mechanical stimuli are attractive for complex sensing and adaptive functionalities. However, most mechanochromic materials are fabricated from films or fibers with limited actuation modes. Here, hollow tubes of a symmetric sheath are created using cholesteric liquid crystal elastomers (CLCEs) at the sub-millimeter scale. The oligomeric precursor is sheared in an elastomeric microchannel to form uniform thickness, overcoming gravity effect and Plateau-Rayleigh instability. In addition, the coloration is achieved to be faster and have higher reflectivity compared to that of solid fibers. The tube can undergo axial, circumferential, and radial strains upon extension and inflation. The combination of molecular anisotropy and geometry of the tube enables highly sensitive mechanochromic responses in both azimuthal and axial directions: inflation causes red-to-violet shift (approximate to 220 nm) at a circumferential strain of 0.57. The inflation of a bent tube generates another mechanochromic mode with a higher sensitivity to strain. Finally, display of 26 alphabets is achieved using 5 tubes, of which the positions can be reconfigured, and curvature-dependent 3D photonic skins are demonstrated from tubes wrapped around 3D objects. The multi-mode mechanochromic tubes will find applications for soft robotics, adaptive displays, wearable sensors, and spectrometers.</t>
  </si>
  <si>
    <t>[Kim, Jong Bin; Li, Shangsong; Wang, Kun-Yu; Chi, Yinding; Yang, Shu] Univ Penn, Dept Mat Sci &amp; Engn, 3231 Walnut St, Philadelphia, PA 19104 USA</t>
  </si>
  <si>
    <t>Wang, Kunyu/AGM-0841-2022; Yang, Shu/D-9758-2011</t>
  </si>
  <si>
    <t>Wang, Kunyu/0000-0001-8982-0547; Kim, Jong Bin/0000-0002-6343-1532; Li, Shangsong/0000-0003-4660-3117;</t>
  </si>
  <si>
    <t>National Science Foundation National Nanotechnology Coordinated Infrastructure Program under grant; Laboratory for Research on the Structure of Matter (LRSM) [DMR-2309043, CMMI 2037097]; National Science Foundation (NSF)'s Materials Research Science and Engineering Center (MRSEC) at University of Pennsylvania; Vagelos Institute Postdoctoral Fellowship at the Vagelos Institute for Energy Science and Technology, University of Pennsylvania [NNCI-2025608]; NSF National Nanotechnology Coordinated Infrastructure Program</t>
  </si>
  <si>
    <t>National Science Foundation National Nanotechnology Coordinated Infrastructure Program under grant; Laboratory for Research on the Structure of Matter (LRSM); National Science Foundation (NSF)'s Materials Research Science and Engineering Center (MRSEC) at University of Pennsylvania; Vagelos Institute Postdoctoral Fellowship at the Vagelos Institute for Energy Science and Technology, University of Pennsylvania; NSF National Nanotechnology Coordinated Infrastructure Program</t>
  </si>
  <si>
    <t>This research was supported in part by the Laboratory for Research on the Structure of Matter (LRSM), the National Science Foundation (NSF)'s Materials Research Science and Engineering Center (MRSEC) at University of Pennsylvania (#DMR-2309043, to S.Y.) and Future Eco Manufacturing Research Grant (FMRG, # CMMI 2037097, to S.Y.). K.-Y.W. acknowledges the funding support from the Vagelos Institute Postdoctoral Fellowship at the Vagelos Institute for Energy Science and Technology, University of Pennsylvania. This work was carried out in part at the Singh Center for Nanotechnology, which was supported by the NSF National Nanotechnology Coordinated Infrastructure Program under grant #NNCI-2025608.</t>
  </si>
  <si>
    <t>AUG</t>
  </si>
  <si>
    <t>10.1002/adma.202504461</t>
  </si>
  <si>
    <t>6SA4Q</t>
  </si>
  <si>
    <t>WOS:001506059500001</t>
  </si>
  <si>
    <t>Luo, Y; Makkar, H; Hu, YT; Chen, KY; Purohit, PK; Vining, KH</t>
  </si>
  <si>
    <t>Luo, Yan; Makkar, Hardik; Hu, Yuntao; Chen, Keyu; Purohit, Prashant K.; Vining, Kyle H.</t>
  </si>
  <si>
    <t>Shape Memory Collagen Scaffolds Sustain Large-Scale Cyclic Loading</t>
  </si>
  <si>
    <t>ACS MATERIALS LETTERS</t>
  </si>
  <si>
    <t>CROSS-LINKING; BEHAVIOR; DESIGN; GLUTARALDEHYDE; HYDROGELS; DELIVERY</t>
  </si>
  <si>
    <t>Natural biopolymer hydrogels often suffer from relatively low moduli and an inability to maintain structure and mechanics under cyclic loading, limiting their utility in dynamic mechanical environments. Here, a cross-linked collagen cryogel scaffold was fabricated by precompression to densify the network. Following lyophilization, the porous scaffolds sustained &gt;90% axial compressive strain with 200 cycles. Ogden hyperelastic modeling and second harmonic generation (SHG) imaging revealed fiber alignment, densification, and strain-stiffening contributing to resilience under repetitive large-scale loading. After rehydration, cross-linked and densified hydrogels showed network stability and recoverability under cyclic loading, with significantly reduced phase transition strains compared to non-cross-linked controls. The scaffolds supported cell encapsulation and maintained cell viability after 50 cycles of 90% strain. Cyclic loading significantly densified the encapsulated cells in the loading direction, comparable to nonloaded controls. Overall, these results suggest that densified, shape memory collagen scaffolds provide a mechanically robust and biocompatible system for dynamic environments.</t>
  </si>
  <si>
    <t>[Luo, Yan; Purohit, Prashant K.] Univ Penn, Sch Engn &amp; Appl Sci, Mech Engn &amp; Appl Mech, Philadelphia, PA 19104 USA; [Makkar, Hardik; Vining, Kyle H.] Univ Penn, Sch Dent Med, Prevent &amp; Restorat Dent, Philadelphia, PA 19104 USA; [Makkar, Hardik; Vining, Kyle H.] Univ Penn, Ctr Innovat &amp; Precis Dent, Philadelphia, PA 19104 USA; [Hu, Yuntao] Univ Penn, Sch Engn &amp; Appl Sci, Robot, Philadelphia, PA 19104 USA; [Hu, Yuntao] Univ Penn, Sch Engn &amp; Appl Sci, Comp &amp; Informat Sci, Philadelphia, PA 19104 USA; [Chen, Keyu; Vining, Kyle H.] Univ Penn, Sch Engn &amp; Appl Sci, Mat Sci &amp; Engn, Philadelphia, PA 19104 USA</t>
  </si>
  <si>
    <t>Vining, KH (corresponding author), Univ Penn, Sch Dent Med, Prevent &amp; Restorat Dent, Philadelphia, PA 19104 USA.;Vining, KH (corresponding author), Univ Penn, Ctr Innovat &amp; Precis Dent, Philadelphia, PA 19104 USA.;Vining, KH (corresponding author), Univ Penn, Sch Engn &amp; Appl Sci, Mat Sci &amp; Engn, Philadelphia, PA 19104 USA.</t>
  </si>
  <si>
    <t>viningk@upenn.edu</t>
  </si>
  <si>
    <t>Vining, Kyle/I-9256-2017; chen, keyu/LFT-0905-2024; Makkar, Hardik/AAM-9736-2021</t>
  </si>
  <si>
    <t>Vining, Kyle/0000-0002-4009-879X;</t>
  </si>
  <si>
    <t>National Heart, Lung, and Blood Institute [NNCI-2025608]; NSF NNCI Program [DMR-2309043]; NSF MRSEC [R01HL148227]; NIH [R90DE031532]; NIDCR; Joseph and Josephine Rabinowitz Award for Excellence in Research from Penn Dental Medicine</t>
  </si>
  <si>
    <t>National Heart, Lung, and Blood Institute(United States Department of Health &amp; Human ServicesNational Institutes of Health (NIH) - USANIH National Heart Lung &amp; Blood Institute (NHLBI)); NSF NNCI Program(National Science Foundation (NSF)NSF - Office of the Director (OD)); NSF MRSEC(National Science Foundation (NSF)NSF - Directorate for Mathematical &amp; Physical Sciences (MPS)); NIH(United States Department of Health &amp; Human ServicesNational Institutes of Health (NIH) - USA); NIDCR(United States Department of Health &amp; Human ServicesNational Institutes of Health (NIH) - USANIH National Institute of Dental &amp; Craniofacial Research (NIDCR)); Joseph and Josephine Rabinowitz Award for Excellence in Research from Penn Dental Medicine</t>
  </si>
  <si>
    <t>This work was conducted in part at the Singh Center for Nanotechnology, supported by the NSF NNCI Program (NNCI-2025608). Additional support was provided by NSF MRSEC (DMR-2309043, seed grant to KHV and PKP), NIH (R01HL148227 grant to PKP), NIH training grant from the NIDCR to the CiPD (R90DE031532 to HM), and the Joseph and Josephine Rabinowitz Award for Excellence in Research from Penn Dental Medicine. We thank Jamie Ford and Nicole John (Singh Center) for SEM support and Gordon Ruthel for SHG imaging assistance.</t>
  </si>
  <si>
    <t>2639-4979</t>
  </si>
  <si>
    <t>ACS MATER LETT</t>
  </si>
  <si>
    <t>ACS Mater. Lett.</t>
  </si>
  <si>
    <t>SEP 1</t>
  </si>
  <si>
    <t>10.1021/acsmaterialslett.5c00817</t>
  </si>
  <si>
    <t>AUG 2025</t>
  </si>
  <si>
    <t>6TH3P</t>
  </si>
  <si>
    <t>WOS:001550474400001</t>
  </si>
  <si>
    <t>Jin, PF; Rafizadeh, DN; Zhao, HY; Chenoweth, DM</t>
  </si>
  <si>
    <t>Jin, Pengfei; Rafizadeh, Diane N.; Zhao, Huanyi; Chenoweth, David M.</t>
  </si>
  <si>
    <t>β-Turn Mimicking Crosslinking Provides Hyperstability and Fast Folding Kinetics for Short Collagen Triple Helices</t>
  </si>
  <si>
    <t>CHEMBIOCHEM</t>
  </si>
  <si>
    <t>collagen mimetic peptides; peptide crosslinking; protein folding kinetics; stable collagen triple helices; collagen heterotrimer</t>
  </si>
  <si>
    <t>CIS-TRANS ISOMERIZATION; BASEMENT-MEMBRANE COLLAGEN; SHEET SECONDARY STRUCTURE; STRUCTURAL BASIS; NATIVE COLLAGEN; CIRCULAR-DICHROISM; MIMETIC PEPTIDES; MODEL; STABILITY; BINDING</t>
  </si>
  <si>
    <t>Creating stabilized peptide mimics of the collagen triple helix is challenging, especially for collagen heterotrimers. Interstrand sidechain crosslinking offers a useful approach, though this strategy can suffer from destabilizing structural perturbations, sequence limitations and synthetic complexity. Herein, we show that the geometry of hydrogen bonding in the collagen triple helix is compatible with installation of terminal beta-turn-mimicking linkers at the N-terminal and C-terminal ends of the triple helix. These double-turn-containing collagen peptide mimics fold into highly stable, intramolecular triple helical structures, providing access to profoundly miniaturized triple helix mimics. Intramolecular triple helix formation exhibits significantly accelerated folding kinetics. Comprehensive kinetic analysis reveals that the rate-limiting step of folding is distinct at low and high temperatures, affording unique insight into the mechanism.</t>
  </si>
  <si>
    <t>[Jin, Pengfei; Rafizadeh, Diane N.; Zhao, Huanyi; Chenoweth, David M.] Univ Penn, Dept Chem, Philadelphia, PA 19104 USA</t>
  </si>
  <si>
    <t>Chenoweth, DM (corresponding author), Univ Penn, Dept Chem, Philadelphia, PA 19104 USA.</t>
  </si>
  <si>
    <t>dcheno@sas.upenn.edu</t>
  </si>
  <si>
    <t>Chenoweth, David/0000-0002-0819-4669; Rafizadeh, Diane/0000-0002-2838-067X; Jin, Pengfei/0000-0002-7723-3051; Zhao, Huanyi/0009-0000-2579-5784</t>
  </si>
  <si>
    <t>National Cancer Institute NIH [F30CA290747]; National Cancer Institute (NCI) at the National Institutes of Health (NIH) [T32GM132039]; NIH Structural Biology and Molecular Biophysics Training Program [R01AR077094]; National Institute of Arthritis and Musculoskeletal and Skin Diseases (NIAMS) at the NIH [MRSEC DMR-2309043]; NSF; University of Pennsylvania; Jasco; Department of Chemistry at the University of Pennsylvania</t>
  </si>
  <si>
    <t>National Cancer Institute NIH(United States Department of Health &amp; Human ServicesNational Institutes of Health (NIH) - USANIH National Cancer Institute (NCI)); National Cancer Institute (NCI) at the National Institutes of Health (NIH)(United States Department of Health &amp; Human ServicesNational Institutes of Health (NIH) - USANIH National Cancer Institute (NCI)); NIH Structural Biology and Molecular Biophysics Training Program; National Institute of Arthritis and Musculoskeletal and Skin Diseases (NIAMS) at the NIH; NSF(National Science Foundation (NSF)); University of Pennsylvania; Jasco; Department of Chemistry at the University of Pennsylvania</t>
  </si>
  <si>
    <t>DNR acknowledges support from the National Cancer Institute (NCI) at the National Institutes of Health (NIH) under award number F30CA290747, as well as the NIH Structural Biology and Molecular Biophysics Training Program T32GM132039. DMC acknowledges support from the National Institute of Arthritis and Musculoskeletal and Skin Diseases (NIAMS) at the NIH under award number R01AR077094 for funding. DMC also acknowledges NIH P01-CA265794, NSF MRSEC DMR-2309043 and the University of Pennsylvania for partial funding. This content is solely the responsibility of the authors and does not necessarily represent the official views of the NIH or the NSF. DMC acknowledges Jasco for supporting the Jasco Facility for Spectroscopic Excellence in the Department of Chemistry at the University of Pennsylvania.</t>
  </si>
  <si>
    <t>1439-4227</t>
  </si>
  <si>
    <t>1439-7633</t>
  </si>
  <si>
    <t>ChemBioChem</t>
  </si>
  <si>
    <t>JUN 16</t>
  </si>
  <si>
    <t>10.1002/cbic.202400834</t>
  </si>
  <si>
    <t>Biochemistry &amp; Molecular Biology; Chemistry, Medicinal</t>
  </si>
  <si>
    <t>Biochemistry &amp; Molecular Biology; Pharmacology &amp; Pharmacy</t>
  </si>
  <si>
    <t>3XV0Z</t>
  </si>
  <si>
    <t>WOS:001448737900001</t>
  </si>
  <si>
    <t>Porter, CM; Qian, GC; Grindel, SH; Hughes, AJ</t>
  </si>
  <si>
    <t>Porter, Catherine M.; Qian, Grace C.; Grindel, Samuel H.; Hughes, Alex J.</t>
  </si>
  <si>
    <t>Highly parallel production of designer organoids by mosaic patterning of progenitors</t>
  </si>
  <si>
    <t>CELL SYSTEMS</t>
  </si>
  <si>
    <t>KIDNEY ORGANOIDS; STEM-CELLS; GRAFT-POLYMERIZATION; DIVERGENT FEATURES; SELF-ORGANIZATION; ROCK INHIBITOR; NEPHRON; ADHESION; MODEL; DISSOCIATION</t>
  </si>
  <si>
    <t>Organoids derived from human stem cells are a promising approach for disease modeling, regenerative medicine, and fundamental research. However, organoid variability and limited control over morphological outcomes remain as challenges. One open question is the extent to which engineering control over culture conditions can guide organoids to specific compositions. Here, we extend a DNA velcrocell patterning approach, precisely controlling the number and ratio of human induced pluripotent stem cell-derived progenitors contributing to nephron progenitor (NP) organoids and mosaic NP/ureteric bud (UB) tip cell organoids within arrays of microwells. We demonstrate long-term control over organoid size and morphology, decoupled from geometric constraints. We then show emergent trends in organoid tissue proportions that depend on initial progenitor cell composition. These include higher nephron and stromal cell representation in mosaic NP/UB organoids vs. NP-only organoids and a goldilocksinitial cell ratio in mosaic organoids that optimizes the formation of proximal tubule structures.</t>
  </si>
  <si>
    <t>[Porter, Catherine M.; Qian, Grace C.; Grindel, Samuel H.; Hughes, Alex J.] Univ Penn, Dept Bioengn, Philadelphia, PA 19104 USA; [Porter, Catherine M.; Qian, Grace C.; Grindel, Samuel H.; Hughes, Alex J.] Univ Penn, Bioengn Grad Grp, Philadelphia, PA 19104 USA; [Hughes, Alex J.] Univ Penn, Dept Cell &amp; Dev Biol, Philadelphia, PA 19104 USA; [Porter, Catherine M.; Grindel, Samuel H.; Hughes, Alex J.] Univ Penn, Ctr Soft &amp; Living Matter, Philadelphia, PA 19104 USA; [Porter, Catherine M.; Grindel, Samuel H.; Hughes, Alex J.] Univ Penn, Ctr Precis Engn Hlth CPE4H, Philadelphia, PA 19104 USA; [Grindel, Samuel H.; Hughes, Alex J.] Univ Penn, Mat Res Sci &amp; Engn Ctr MRSEC, Philadelphia, PA 19104 USA; [Porter, Catherine M.; Grindel, Samuel H.; Hughes, Alex J.] Univ Penn, Inst Regenerat Med, Philadelphia, PA 19104 USA</t>
  </si>
  <si>
    <t>University of Pennsylvania; University of Pennsylvania; University of Pennsylvania; University of Pennsylvania; University of Pennsylvania; University of Pennsylvania; University of Pennsylvania</t>
  </si>
  <si>
    <t>Hughes, AJ (corresponding author), Univ Penn, Dept Bioengn, Philadelphia, PA 19104 USA.;Hughes, AJ (corresponding author), Univ Penn, Bioengn Grad Grp, Philadelphia, PA 19104 USA.;Hughes, AJ (corresponding author), Univ Penn, Dept Cell &amp; Dev Biol, Philadelphia, PA 19104 USA.;Hughes, AJ (corresponding author), Univ Penn, Ctr Soft &amp; Living Matter, Philadelphia, PA 19104 USA.;Hughes, AJ (corresponding author), Univ Penn, Ctr Precis Engn Hlth CPE4H, Philadelphia, PA 19104 USA.;Hughes, AJ (corresponding author), Univ Penn, Mat Res Sci &amp; Engn Ctr MRSEC, Philadelphia, PA 19104 USA.;Hughes, AJ (corresponding author), Univ Penn, Inst Regenerat Med, Philadelphia, PA 19104 USA.</t>
  </si>
  <si>
    <t>ajhughes@seas.upenn.edu</t>
  </si>
  <si>
    <t>Qian, Grace/0009-0003-4458-7579; Hughes, Alex/0000-0001-6801-3455</t>
  </si>
  <si>
    <t>NSF National Nanotechnology Coordinated Infrastructure Program [NNCI-2025608]; NSF GRFP award; NIH NIGMS MIRA [R35GM133380]; NSF [2047271]; University of Pennsylvania Materials Research Science and Engineering Center (NSF MRSEC) [DMR- 2309043]</t>
  </si>
  <si>
    <t>NSF National Nanotechnology Coordinated Infrastructure Program; NSF GRFP award; NIH NIGMS MIRA; NSF(National Science Foundation (NSF)); University of Pennsylvania Materials Research Science and Engineering Center (NSF MRSEC)</t>
  </si>
  <si>
    <t>We thank Louis Prahl for advice on DNA patterning conditions, Ananya Gupta and Wenli Yang for advice on hiPSC maintenance, Sarah Howden and Melissa Little for advice on hiPSC differentiation protocols, and Magdalena Niewiadomska-Bugaj for advice on statistical analyses. This research was conducted in part at the Singh Center for Nanotechnology at the University of Pennsylvania, which is supported by the NSF National Nanotechnology Coordinated Infrastructure Program under grant NNCI-2025608. This work was supported by an NSF GRFP award (C.M.P.) , NIH NIGMS MIRA R35GM133380 (A.J.H.) , and an NSF CAREER award 2047271 (A.J.H.) and was partially supported through the University of Pennsylvania Materials Research Science and Engineering Center (NSF MRSEC, DMR- 2309043) .</t>
  </si>
  <si>
    <t>CELL PRESS</t>
  </si>
  <si>
    <t>50 HAMPSHIRE ST, FLOOR 5, CAMBRIDGE, MA 02139 USA</t>
  </si>
  <si>
    <t>2405-4712</t>
  </si>
  <si>
    <t>2405-4720</t>
  </si>
  <si>
    <t>CELL SYST</t>
  </si>
  <si>
    <t>Cell Syst.</t>
  </si>
  <si>
    <t>JUL 17</t>
  </si>
  <si>
    <t>10.1016/j.cels.2024.06.004</t>
  </si>
  <si>
    <t>Biochemistry &amp; Molecular Biology; Cell Biology</t>
  </si>
  <si>
    <t>ZE5K9</t>
  </si>
  <si>
    <t>Green Submitted, Bronze</t>
  </si>
  <si>
    <t>WOS:001273631200001</t>
  </si>
  <si>
    <t>Ohta, S; Singh, N; Rai, RK; Koh, H; Zhang, YH; Suk, W; Palmer, MJ; Hwang, SJ; Jones, M; Wang, CH; Ling, C; Masias, KS; Stavitski, E; Sakamoto, J; Stach, EA</t>
  </si>
  <si>
    <t>Ohta, Shingo; Singh, Nikhilendra; Rai, Rajeev Kumar; Koh, Hyeongjun; Zhang, Yihui; Suk, Wonjoon; Palmer, Max J.; Hwang, Son-Jong; Jones, Michael; Wang, Chuhong; Ling, Chen; Masias, Kimber Stamm; Stavitski, Eli; Sakamoto, Jeff; Stach, Eric A.</t>
  </si>
  <si>
    <t>Fast ionic conduction achieved through the design and synthesis of ceramic heterointerfaces</t>
  </si>
  <si>
    <t>JOULE</t>
  </si>
  <si>
    <t>LITHIUM; ELECTROLYTES; LI7LA3ZR2O12; GAS; TA</t>
  </si>
  <si>
    <t>Lithium (Li) chloride and iron oxychloride (FeOCl), typically nonconductive, were combined to form a [Li1+dCl]d+/[FeOCl]d- heterointerface composite material (LFH), achieving ionic conductivities of &gt;1 mS cm-1. Analysis techniques (scanning transmission electron microscopy [STEM] and electron energy-loss spectroscopy [EELS]) indicated that the microstructure of LFH consisted of an amorphous LiCl-based shell surrounding a crystalline FeOCl-based core. Electrochemical measurements alongside solid-state 6,7Li nuclear magnetic resonance (NMR) and molecular dynamic simulations revealed Li+ as the sole conductive species, with a diffusion barrier of '0.25 eV. X-ray photoelectron spectroscopy (XPS) and X-ray absorption fine structure (XAFS) results further supported interstitial Li+ diffusion at the heterointerface and within the LiCl phase, made possible by the heterointerface. Despite susceptibility to electronic conductivity, iron's defects and multivalency (Fe3', Fe2') enable the Fe-O-Cl framework to accept Cl-, facilitating Li'ionic conduction. A prototype solid-state cell (showing 97% Coulombic efficiency) demonstrated the viability of this heterointerface design for applications in energy storage.</t>
  </si>
  <si>
    <t>[Ohta, Shingo; Singh, Nikhilendra; Jones, Michael; Wang, Chuhong; Ling, Chen; Masias, Kimber Stamm] Toyota Res Inst North Amer, Ann Arbor, MI 48105 USA; [Rai, Rajeev Kumar; Koh, Hyeongjun; Zhang, Yihui; Stach, Eric A.] Univ Penn, Dept Mat Sci &amp; Engn, Philadelphia, PA 19104 USA; [Suk, Wonjoon; Palmer, Max J.; Sakamoto, Jeff] Univ Michigan, Mech Engn Dept, Ann Arbor, MI 48109 USA; [Hwang, Son-Jong] CALTECH, Div Chem &amp; Chem Engn, Pasadena, CA 91125 USA; [Stavitski, Eli] Brookhaven Natl Lab, Natl Synchrotron Light Source 2, Upton, NY 11973 USA; [Sakamoto, Jeff] Univ Calif Santa Barbara, Dept Mat, Santa Barbara, CA 93106 USA</t>
  </si>
  <si>
    <t>Toyota Motor Corporation; University of Pennsylvania; University of Michigan System; University of Michigan; California Institute of Technology; United States Department of Energy (DOE); Brookhaven National Laboratory; University of California System; University of California Santa Barbara</t>
  </si>
  <si>
    <t>Ohta, S (corresponding author), Toyota Res Inst North Amer, Ann Arbor, MI 48105 USA.</t>
  </si>
  <si>
    <t>shingo.ota@toyota.com</t>
  </si>
  <si>
    <t>Hwang, Sonjong/KMX-0849-2024; Wang, Chuhong/AGY-2907-2022; Ling, Chen/HGE-0857-2022; Stach, Eric/D-8545-2011; Stavitski, Eli/C-4863-2009</t>
  </si>
  <si>
    <t>Stach, Eric/0000-0002-3366-2153; Palmer, Max/0000-0003-0455-6738;</t>
  </si>
  <si>
    <t>US Department of Energy Office of Science User Facility [DE-SC0012704]; NSF National Nanotechnology Coordinated Infrastructure Program [NNCI-2025608]; University of Pennsylvania Materials Research Science and Engineering Center (MRSEC) [DMR-2309043]</t>
  </si>
  <si>
    <t>US Department of Energy Office of Science User Facility(United States Department of Energy (DOE)); NSF National Nanotechnology Coordinated Infrastructure Program; University of Pennsylvania Materials Research Science and Engineering Center (MRSEC)</t>
  </si>
  <si>
    <t>We are grateful for the resources provided by the Inner Shell Spectroscopy (8-ID) beamline of the National Synchrotron Light Source II, a US Department of Energy Office of Science User Facility operated by Brookhaven National Lab-oratory under contract no. DE-SC0012704 (proposal no. 313529) . STEM was carried out at the Singh Center for Nanotechnology, which is supported by the NSF National Nanotechnology Coordinated Infrastructure Program under grant NNCI-2025608 and through the use of facilities supported by the University of Pennsylvania Materials Research Science and Engineering Center (MRSEC) DMR-2309043. The authors would like to express gratitude to Dr. Lianne Beltran for her kind assistance in the professional editing of this manuscript.</t>
  </si>
  <si>
    <t>2542-4351</t>
  </si>
  <si>
    <t>Joule</t>
  </si>
  <si>
    <t>FEB 19</t>
  </si>
  <si>
    <t>10.1016/j.joule.2024.11.006</t>
  </si>
  <si>
    <t>Chemistry, Physical; Energy &amp; Fuels; Materials Science, Multidisciplinary</t>
  </si>
  <si>
    <t>Chemistry; Energy &amp; Fuels; Materials Science</t>
  </si>
  <si>
    <t>Y3D6F</t>
  </si>
  <si>
    <t>WOS:001430976100001</t>
  </si>
  <si>
    <t>Wilk, JT; Furner, CT; Kent, EW; Kelly, MT; Zhao, B; Li, CY</t>
  </si>
  <si>
    <t>Wilk, Jeffrey T.; Furner, Carl T.; Kent, Ethan W.; Kelly, Michael T.; Zhao, Bin; Li, Christopher Y.</t>
  </si>
  <si>
    <t>Effect of Grafting Density on the Crystallization Behavior of Molecular Bottlebrushes</t>
  </si>
  <si>
    <t>EQUILIBRIUM MELTING TEMPERATURE; SELF-NUCLEATION; POLYMER CRYSTALS; KINETICS; CRACKING</t>
  </si>
  <si>
    <t>A unique case of sterically constrained crystallization arises in bottlebrush polymers bearing semicrystalline side chains. Bottlebrushes with grafted side chains can form crystalline structures governed by the complex interplay between side chain packing and backbone confinement. The confinement effect can be readily tuned by varying the side chain grafting density, thus affording control over the crystallization behavior of these systems. In this work, the grafting density effect on the crystallization behavior of molecular bottlebrushes comprising poly(ethylene oxide) (PEO) side chains grafted to a methacrylate backbone was systematically studied. Thermal analysis using differential scanning calorimetry showed that the bottlebrush polymers displayed suppressed crystallization temperatures, lower melting temperatures, and reduced crystallinities compared to linear homopolymer PEO. The crystalline morphology was investigated using polarized light, atomic force, and scanning electron microscopy. Isothermal crystallization experiments revealed a nonmonotonous dependence of the nucleation density on the side chain grafting density. The grafting density effect was also investigated using self-seeding experiments, revealing an increased clearing temperature and memory retention at higher grafting densities. This work highlights how grafting density influences the crystallization behavior of semicrystalline bottlebrushes, providing information for the processing and application of these unique polymers.</t>
  </si>
  <si>
    <t>[Wilk, Jeffrey T.; Furner, Carl T.; Li, Christopher Y.] Drexel Univ, Dept Mat Sci &amp; Engn, Philadelphia, PA 19104 USA; [Kent, Ethan W.; Kelly, Michael T.; Zhao, Bin] Univ Tennessee, Dept Chem, Knoxville, TN 37996 USA</t>
  </si>
  <si>
    <t>Drexel University; University of Tennessee System; University of Tennessee Knoxville</t>
  </si>
  <si>
    <t>Li, CY (corresponding author), Drexel Univ, Dept Mat Sci &amp; Engn, Philadelphia, PA 19104 USA.;Zhao, B (corresponding author), Univ Tennessee, Dept Chem, Knoxville, TN 37996 USA.</t>
  </si>
  <si>
    <t>bzhao@utk.edu; chrisli@drexel.edu</t>
  </si>
  <si>
    <t>Wilk, Jeffrey/0009-0002-3330-7714</t>
  </si>
  <si>
    <t>National Science Foundation [DMR 2104968, DMR-2004564]; Laboratory for Research on the Structure of Matter; NSF through the University of Pennsylvania Materials Research Science and Engineering Center (MRSEC) [DMR-2309043]</t>
  </si>
  <si>
    <t>National Science Foundation(National Science Foundation (NSF)); Laboratory for Research on the Structure of Matter; NSF through the University of Pennsylvania Materials Research Science and Engineering Center (MRSEC)(National Science Foundation (NSF))</t>
  </si>
  <si>
    <t>This research was financially supported by the National Science Foundation DMR 2104968 (C.Y.L.) and DMR-2004564 (B.Z.). SEM images were taken at the Drexel Materials Characterization Core. The authors acknowledge the use of facilities supported by the Laboratory for Research on the Structure of Matter and the NSF through the University of Pennsylvania Materials Research Science and Engineering Center (MRSEC) DMR-2309043.</t>
  </si>
  <si>
    <t>AUG 20</t>
  </si>
  <si>
    <t>10.1021/acs.macromol.4c00752</t>
  </si>
  <si>
    <t>F4D3Z</t>
  </si>
  <si>
    <t>WOS:001295150500001</t>
  </si>
  <si>
    <t>Fulco, S; Budzik, MK; Turner, KT</t>
  </si>
  <si>
    <t>Fulco, Sage; Budzik, Michal K.; Turner, Kevin T.</t>
  </si>
  <si>
    <t>Enhancing toughness through geometric control of the process zone</t>
  </si>
  <si>
    <t>JOURNAL OF THE MECHANICS AND PHYSICS OF SOLIDS</t>
  </si>
  <si>
    <t>Architected materials; Plasticity; Toughness; Finite element analysis</t>
  </si>
  <si>
    <t>LIGHTWEIGHT; ULTRALIGHT; STRENGTH; GROWTH</t>
  </si>
  <si>
    <t>Material architecture provides an opportunity to alter and control the fracture process zone shape and volume by redistributing the local stresses at a crack tip. Properly designed structures can enlarge the plastic zone and enhance the effective toughness. Here, we use a pillar array as a model structure to demonstrate how variations in geometry at a crack tip control the size and shape of the plastic zone and can be used to engineer the effective toughness. Elastic-plastic finite element simulations are used to quantify how the pillar width, spacing, and height can be varied to tailor the size and shape of the plastic zone. A set of analytical mechanics models that accurately estimate the shape, volume, and resulting toughness as a function of the base material properties and geometry are also presented. A case study extends the analysis to sets of non -regular pillar arrays to illustrate how architecture can be used to alter toughness along the crack path.</t>
  </si>
  <si>
    <t>[Fulco, Sage; Turner, Kevin T.] Univ Penn, Dept Mech Engn &amp; Appl Mech, Philadelphia, PA 19104 USA; [Budzik, Michal K.] Aarhus Univ, Dept Mech &amp; Prod Engn, Aarhus, Denmark</t>
  </si>
  <si>
    <t>University of Pennsylvania; Aarhus University</t>
  </si>
  <si>
    <t>Turner, KT (corresponding author), Univ Penn, Dept Mech Engn &amp; Appl Mech, Philadelphia, PA 19104 USA.;Budzik, MK (corresponding author), Aarhus Univ, Dept Mech &amp; Prod Engn, Aarhus, Denmark.</t>
  </si>
  <si>
    <t>mibu@mpe.au.dk; kturner@seas.upenn.edu</t>
  </si>
  <si>
    <t>Fulco, Sage/MGA-2373-2025; Budzik, Michal/JAC-7781-2023; Turner, Kevin/LTC-4848-2024</t>
  </si>
  <si>
    <t>Fulco, Sage/0000-0002-4591-0521; Budzik, Michal/0000-0002-6429-0364; Turner, Kevin/0000-0003-4963-4568</t>
  </si>
  <si>
    <t>National Science Foundation (NSF) , United States MRSEC program [DMR-1720530, DMR-2309043]; Aarhus University Research Foundation (AUFF) , Denmark [28653]; Velux Foundations [VIL50302]; US Department of Defense (DoD) through the National Defense Science &amp; Engineering Graduate (NDSEG) Fellowship Program, United States</t>
  </si>
  <si>
    <t>National Science Foundation (NSF) , United States MRSEC program; Aarhus University Research Foundation (AUFF) , Denmark; Velux Foundations(Velux Fonden); US Department of Defense (DoD) through the National Defense Science &amp; Engineering Graduate (NDSEG) Fellowship Program, United States(United States Department of Defense)</t>
  </si>
  <si>
    <t>This research was funded primarily by the National Science Foundation (NSF) , United States MRSEC program [awards DMR-1720530 and DMR-2309043] . MKB acknowledges Aarhus University Research Foundation (AUFF) , Denmark [grant number 28653] and the Velux Foundations for support under the Villum Experiment program [VIL50302] , and SF acknowledges support from the US Department of Defense (DoD) through the National Defense Science &amp; Engineering Graduate (NDSEG) Fellowship Program, United States.</t>
  </si>
  <si>
    <t>PERGAMON-ELSEVIER SCIENCE LTD</t>
  </si>
  <si>
    <t>THE BOULEVARD, LANGFORD LANE, KIDLINGTON, OXFORD OX5 1GB, ENGLAND</t>
  </si>
  <si>
    <t>0022-5096</t>
  </si>
  <si>
    <t>1873-4782</t>
  </si>
  <si>
    <t>J MECH PHYS SOLIDS</t>
  </si>
  <si>
    <t>J. Mech. Phys. Solids</t>
  </si>
  <si>
    <t>10.1016/j.jmps.2024.105548</t>
  </si>
  <si>
    <t>Materials Science, Multidisciplinary; Mechanics; Physics, Condensed Matter</t>
  </si>
  <si>
    <t>Materials Science; Mechanics; Physics</t>
  </si>
  <si>
    <t>IR4R4</t>
  </si>
  <si>
    <t>WOS:001168048400001</t>
  </si>
  <si>
    <t>Kitto, D; Espinoza, C; Diaz, JC; Zamora, J; Kamcev, J</t>
  </si>
  <si>
    <t>Kitto, David; Espinoza, Carolina; Diaz, Jose C.; Zamora, Jacquelyn; Kamcev, Jovan</t>
  </si>
  <si>
    <t>Fast and selective ion transport in ultrahigh-charge-density membranes</t>
  </si>
  <si>
    <t>NATURE CHEMICAL ENGINEERING</t>
  </si>
  <si>
    <t>ANION-EXCHANGE MEMBRANES; WASTE-WATER; ELECTRODIALYSIS; DESALINATION; STATES; COST; BRINES</t>
  </si>
  <si>
    <t>Ion-selective membranes are central to electrochemical technologies due to their ability to regulate ion transport and differentiate between cations and anions. However, a major obstacle to their effective implementation is the inherent trade-off between ionic conductivity and cation/anion selectivity, a consequence of the interdependence between membrane charge and water content. Here we introduce a membrane design strategy that not only achieves high charge densities but also nearly decouples charge from water content. Our strategy involves the copolymerization of low-molecular-weight charged monomers and charged cross-linkers, ensuring that every repeat unit of the polymer backbone contains a charged group. Anion-exchange membranes synthesized using this strategy exhibit ultrahigh charge densities, substantially advancing the conductivity/selectivity upper bound. We further demonstrate the practical implications of these ultrahigh-charge-density membranes for electrodialytic brine concentration, achieving a lower specific energy consumption than the state-of-the-art benchmark. This advancement in membrane design can impact the development and deployment of electrochemical systems across a spectrum of energy and environmental applications.</t>
  </si>
  <si>
    <t>[Kitto, David; Espinoza, Carolina; Diaz, Jose C.; Zamora, Jacquelyn; Kamcev, Jovan] Univ Michigan, Dept Chem Engn, Ann Arbor, MI 48109 USA; [Kamcev, Jovan] Univ Michigan, Macromol Sci &amp; Engn, Ann Arbor, MI 48109 USA</t>
  </si>
  <si>
    <t>University of Michigan System; University of Michigan; University of Michigan System; University of Michigan</t>
  </si>
  <si>
    <t>Kamcev, J (corresponding author), Univ Michigan, Dept Chem Engn, Ann Arbor, MI 48109 USA.;Kamcev, J (corresponding author), Univ Michigan, Macromol Sci &amp; Engn, Ann Arbor, MI 48109 USA.</t>
  </si>
  <si>
    <t>jkamcev@umich.edu</t>
  </si>
  <si>
    <t>; Kamcev, Jovan/S-3505-2018</t>
  </si>
  <si>
    <t>Kitto, David/0000-0001-6863-2731; Kamcev, Jovan/0000-0003-0379-5171</t>
  </si>
  <si>
    <t>U.S. Department of Energy (DOE) [DMR-2309043]; NSF through the University of Pennsylvania Materials Research Science and Engineering Center (MRSEC) [DE-SC0022040]; US Department of Energy Office of Science, Basic Energy Sciences [DGE-1841052]; National Science Foundation; Department of Defense National Defense Science and Engineering Graduate Fellowship Program</t>
  </si>
  <si>
    <t>U.S. Department of Energy (DOE)(United States Department of Energy (DOE)); NSF through the University of Pennsylvania Materials Research Science and Engineering Center (MRSEC)(National Science Foundation (NSF)); US Department of Energy Office of Science, Basic Energy Sciences(United States Department of Energy (DOE)); National Science Foundation(National Science Foundation (NSF)); Department of Defense National Defense Science and Engineering Graduate Fellowship Program(United States Department of Defense)</t>
  </si>
  <si>
    <t>We acknowledge G. Reimonn for discussions regarding the characterization of the membranes in this work. We acknowledge the use of X-ray characterization facilities supported by the Laboratory for Research on the Structure of Matter and the NSF through the University of Pennsylvania Materials Research Science and Engineering Center (MRSEC) DMR-2309043. This work was based on research funded by the US Department of Energy Office of Science, Basic Energy Sciences, award DE-SC0022040 (J.K.). We also acknowledge support from the National Science Foundation Graduate Research Fellowship grant DGE-1841052 (D.K.). In addition, we acknowledge support from the Department of Defense National Defense Science and Engineering Graduate Fellowship Program (J.C.D. and C.E.).</t>
  </si>
  <si>
    <t>SPRINGERNATURE</t>
  </si>
  <si>
    <t>LONDON</t>
  </si>
  <si>
    <t>CAMPUS, 4 CRINAN ST, LONDON, N1 9XW, ENGLAND</t>
  </si>
  <si>
    <t>2948-1198</t>
  </si>
  <si>
    <t>NAT CHEM ENG</t>
  </si>
  <si>
    <t>Nat. Chem. Eng.</t>
  </si>
  <si>
    <t>APR</t>
  </si>
  <si>
    <t>10.1038/s44286-025-00205-x</t>
  </si>
  <si>
    <t>Engineering, Chemical</t>
  </si>
  <si>
    <t>6DF9R</t>
  </si>
  <si>
    <t>WOS:001550584900002</t>
  </si>
  <si>
    <t>Chen, CY; Wang, HN; Shamsabadi, AA; Fakhraai, Z</t>
  </si>
  <si>
    <t>Chen, Cindy Yueli; Wang, Haonan; Shamsabadi, Ahmad Arabi; Fakhraai, Zahra</t>
  </si>
  <si>
    <t>Thermal Stability and Photostability of Highly Confined Molecular Nanocomposites</t>
  </si>
  <si>
    <t>JOURNAL OF PHYSICAL CHEMISTRY B</t>
  </si>
  <si>
    <t>POLYMER NANOCOMPOSITES; SOLAR-CELLS; DEGRADATION; NANOPARTICLES; POLYSTYRENE; SOLVENT; LIQUIDS; ENERGY; FILMS</t>
  </si>
  <si>
    <t>Capillary rise infiltration of molecular glasses into self-assembled layers of rigid nanoparticles (NPs) can produce highly confined molecular nanocomposite films (MNCFs). Here, we investigate the thermal stability and photostability of MNCFs made by confining indomethacin glasses in silica NPs. We demonstrate increasing confinement decreases the rate of thermal degradation and increases the activation energy of degradation (up to similar to 70 kJ/mol in 11 nm NPs, similar to 3 nm pore size). Upon UV exposure under nitrogen, photodegradation is only observed at the near-surface region of MNCFs, with a thickness of one NP diameter. However, no further degradation is observed, even after prolonged UV exposure. The dramatically improved thermal stability and photostability of MNCFs can be attributed to the slower transport of reaction products, corresponding to the increased T g (up to similar to 30 K in 11 nm NPs). These findings demonstrate that extreme nanoconfinement can prolong the durability of molecular glasses in applications such as coatings and organic electronics.</t>
  </si>
  <si>
    <t>[Chen, Cindy Yueli; Shamsabadi, Ahmad Arabi; Fakhraai, Zahra] Univ Penn, Dept Chem, Philadelphia, PA 19104 USA; [Wang, Haonan] Corning Res Ctr, Shanghai 201206, Peoples R China</t>
  </si>
  <si>
    <t>Fakhraai, Z (corresponding author), Univ Penn, Dept Chem, Philadelphia, PA 19104 USA.</t>
  </si>
  <si>
    <t>fakhraai@sas.upenn.edu</t>
  </si>
  <si>
    <t>WANG, HAONAN/0000-0003-2047-5380; Chen, Cindy/0000-0001-7401-3638; Fakhraai, Zahra/0000-0002-0597-9882; Arabi Shamsabadi, Ahmad/0000-0002-9726-2466</t>
  </si>
  <si>
    <t>Division of Materials Research [DGE-1845298]; National Science Foundation (NSF) Graduate Research Fellowship Program (GRFP) [DMR-1720530]; University of Pennsylvania Materials Research Science and Engineering Center (MRSEC) [DMR-2309043]; Wisconsin MRSEC grant; Vagelos Institute of Energy Science and Technology (VIEST)</t>
  </si>
  <si>
    <t>Division of Materials Research(National Science Foundation (NSF)NSF - Directorate for Mathematical &amp; Physical Sciences (MPS)); National Science Foundation (NSF) Graduate Research Fellowship Program (GRFP)(National Science Foundation (NSF)NSF - Office of the Director (OD)); University of Pennsylvania Materials Research Science and Engineering Center (MRSEC); Wisconsin MRSEC grant; Vagelos Institute of Energy Science and Technology (VIEST)</t>
  </si>
  <si>
    <t>This work is supported by the funding sources National Science Foundation (NSF) Graduate Research Fellowship Program (GRFP) (DGE-1845298). Authors acknowledge partial funding through the University of Pennsylvania Materials Research Science and Engineering Center (MRSEC) (DMR-1720530) and Wisconsin MRSEC grant (DMR-2309043). A.A.S. was supported with a postdoctoral fellowship from the Vagelos Institute of Energy Science and Technology (VIEST). We thank Prof. Thomas Mallouk's lab for the spectrophotometer and Dr. Langqiu Xiao for helping with data collection.</t>
  </si>
  <si>
    <t>1520-6106</t>
  </si>
  <si>
    <t>1520-5207</t>
  </si>
  <si>
    <t>J PHYS CHEM B</t>
  </si>
  <si>
    <t>J. Phys. Chem. B</t>
  </si>
  <si>
    <t>DEC 12</t>
  </si>
  <si>
    <t>10.1021/acs.jpcb.4c06713</t>
  </si>
  <si>
    <t>DEC 2024</t>
  </si>
  <si>
    <t>Biophysics; Chemistry, Physical</t>
  </si>
  <si>
    <t>Biophysics; Chemistry</t>
  </si>
  <si>
    <t>Q3F8P</t>
  </si>
  <si>
    <t>WOS:001376014600001</t>
  </si>
  <si>
    <t>Saetra, MJ; Mori, Y</t>
  </si>
  <si>
    <t>Saetra, Marte J.; Mori, Yoichiro</t>
  </si>
  <si>
    <t>An electrodiffusive network model with multicompartmental neurons and synaptic connections</t>
  </si>
  <si>
    <t>PLOS COMPUTATIONAL BIOLOGY</t>
  </si>
  <si>
    <t>SPREADING DEPRESSION; POTASSIUM DYNAMICS; EXTRACELLULAR-SPACE; BRAIN; DEPOLARIZATION; TRANSITIONS; EQUATIONS; SEIZURES; NERVE</t>
  </si>
  <si>
    <t>Most computational models of neurons assume constant ion concentrations, disregarding the effects of changing ion concentrations on neuronal activity. Among the models that do incorporate ion concentration dynamics, simplifications are often made that sacrifice biophysical consistency, such as neglecting the effects of ionic diffusion on electrical potentials or the effects of electric drift on ion concentrations. A subset of models with ion concentration dynamics, often referred to as electrodiffusive models, account for ion concentration dynamics in a way that ensures a biophysical consistent relationship between ion concentrations, electric charge, and electrical potentials. These models include compartmental single-cell models, geometrically explicit models, and domain-type models, but none that model neuronal network dynamics. To address this gap, we present an electrodiffusive network model with multicompartmental neurons and synaptic connections, which we believe is the first compartmentalized network model to account for intra- and extracellular ion concentration dynamics in a biophysically consistent way. The model comprises an arbitrary number of units, each divided into three domains representing a neuron, glia, and extracellular space. Each domain is further subdivided into a somatic and dendritic layer. Unlike conventional models which focus primarily on neuronal spiking patterns, our model predicts intra- and extracellular ion concentrations (Na+, K+, Cl-, and Ca2+), electrical potentials, and volume fractions. A unique feature of the model is that it captures ephaptic effects, both electric and ionic. In this paper, we show how this leads to interesting behavior in the network. First, we demonstrate how changing ion concentrations can affect the synaptic strengths. Then, we show how ionic ephaptic coupling can lead to spontaneous firing in neurons that do not receive any synaptic or external input. Lastly, we explore the effects of having glia in the network and demonstrate how a strongly coupled glial syncytium can prevent neuronal depolarization blocks.</t>
  </si>
  <si>
    <t>[Saetra, Marte J.] Simula Res Lab, Dept Numer Anal &amp; Sci Comp, N-0164 Oslo, Norway; [Mori, Yoichiro] Univ Penn, Dept Math, Philadelphia, PA 19104 USA; [Mori, Yoichiro] Univ Penn, Dept Biol, Philadelphia, PA USA</t>
  </si>
  <si>
    <t>Saetra, MJ (corresponding author), Simula Res Lab, Dept Numer Anal &amp; Sci Comp, N-0164 Oslo, Norway.</t>
  </si>
  <si>
    <t>martejulie@simula.no</t>
  </si>
  <si>
    <t>Sætra, Marte Julie/0000-0002-7225-1883</t>
  </si>
  <si>
    <t>Research Council of Norway via FRIPRO grant [324239]; U.S.-Norway Fulbright Foundation; Epilepsiforbundets forskningsfond (Norway's Epilepsy Foundation); University of Pennsylvania Materials Research Science and Engineering Center (MRSEC) grant [DMR-2309043]; Simons Foundation Math+X grant [234606]; National Science Foundation [DMS-2042144]</t>
  </si>
  <si>
    <t>Research Council of Norway via FRIPRO grant(Research Council of Norway); U.S.-Norway Fulbright Foundation; Epilepsiforbundets forskningsfond (Norway's Epilepsy Foundation); University of Pennsylvania Materials Research Science and Engineering Center (MRSEC) grant; Simons Foundation Math+X grant; National Science Foundation(National Science Foundation (NSF))</t>
  </si>
  <si>
    <t>MJS was supported by the Research Council of Norway via FRIPRO grant no. 324239 (EMIx), the U.S.-Norway Fulbright Foundation, and Epilepsiforbundets forskningsfond (Norway's Epilepsy Foundation). YM was supported by the University of Pennsylvania Materials Research Science and Engineering Center (MRSEC) grant DMR-2309043, the Simons Foundation Math+X grant 234606, and by the National Science Foundation through grant DMS-2042144. The funders had no role in study design, data collection and analysis, decision to publish, or preparation of the manuscript.</t>
  </si>
  <si>
    <t>PUBLIC LIBRARY SCIENCE</t>
  </si>
  <si>
    <t>SAN FRANCISCO</t>
  </si>
  <si>
    <t>1160 BATTERY STREET, STE 100, SAN FRANCISCO, CA 94111 USA</t>
  </si>
  <si>
    <t>1553-734X</t>
  </si>
  <si>
    <t>1553-7358</t>
  </si>
  <si>
    <t>PLOS COMPUT BIOL</t>
  </si>
  <si>
    <t>PLoS Comput. Biol.</t>
  </si>
  <si>
    <t>e1012114</t>
  </si>
  <si>
    <t>10.1371/journal.pcbi.1012114</t>
  </si>
  <si>
    <t>Biochemical Research Methods; Mathematical &amp; Computational Biology</t>
  </si>
  <si>
    <t>Biochemistry &amp; Molecular Biology; Mathematical &amp; Computational Biology</t>
  </si>
  <si>
    <t>L7R7I</t>
  </si>
  <si>
    <t>WOS:001352658900001</t>
  </si>
  <si>
    <t>Jin, PF; Chenoweth, DM</t>
  </si>
  <si>
    <t>Jin, Pengfei; Chenoweth, David M.</t>
  </si>
  <si>
    <t>Programmable Steric Control of Collagen Peptide-to-Fiber Assembly</t>
  </si>
  <si>
    <t>JOURNAL OF THE AMERICAN CHEMICAL SOCIETY</t>
  </si>
  <si>
    <t>MIMETIC PEPTIDES; TRIPLE-HELIX; BIOMATERIALS; DESIGN</t>
  </si>
  <si>
    <t>Peptide-based collagen-mimetic materials have drawn growing interest as fibrillar collagen surrogates due to their accessibility and versatility. However, an efficient strategy for assembling collagen peptides into well-defined collagen filaments remains elusive, owing to the nonspecific intermolecular interactions in collagen triple-helix formation. Here, we develop a new strategy for designing peptides that form triple-helical collagen-mimicking filaments using a single-residue side-chain modification. By organizing the intermolecular steric interactions in a bump-gap design, the peptides self-assemble into interlocked, endlessly growing triple-helical filaments with exceptional specificity. The peptide filaments exhibit high aspect ratios with micrometer lengths and are capable of forming networked structures that build hydrogels. These collagen-mimicking hydrogels, triggered by pH-dependent self-assembly, demonstrate superior stiffness over natural collagen with remarkable shear-thinning properties.</t>
  </si>
  <si>
    <t>[Jin, Pengfei; Chenoweth, David M.] Univ Penn, Dept Chem, Philadelphia, PA 19104 USA</t>
  </si>
  <si>
    <t>National Institute of Arthritis and Musculoskeletal and Skin Diseases [R01AR077094]; University of Pennsylvania [NA]; National Science Foundation (NSF) [NNCI-2025608]; Division of Materials Research [DMR-2309043]</t>
  </si>
  <si>
    <t>National Institute of Arthritis and Musculoskeletal and Skin Diseases(United States Department of Health &amp; Human ServicesNational Institutes of Health (NIH) - USANIH National Institute of Arthritis &amp; Musculoskeletal &amp; Skin Diseases (NIAMS)); University of Pennsylvania; National Science Foundation (NSF)(National Science Foundation (NSF)); Division of Materials Research(National Science Foundation (NSF)NSF - Directorate for Mathematical &amp; Physical Sciences (MPS))</t>
  </si>
  <si>
    <t>DMC acknowledges support from the National Institute of Arthritis and Musculoskeletal and Skin Diseases (NIAMS) at the NIH under award number R01AR077094 for funding. DMC also acknowledges NSF MRSEC DMR-2309043 and the University of Pennsylvania for partial funding. DMC acknowledges Jasco for supporting the Jasco Facility for Spectroscopic Excellence in the Department of Chemistry at the University of Pennsylvania. This work was carried out in part at the Singh Center for Nanotechnology at the University of Pennsylvania, which is supported by the NSF National Nanotechnology Coordinated Infrastructure Program under grant NNCI-2025608. The authors acknowledge the use of facilities supported by the Laboratory for Research on the Structure of Matter at the University of Pennsylvania. The authors acknowledge the Institute of Structural Biology and Beckman Center for cryo-EM at the University of Pennsylvania (RRID: SCR_022375). The authors thank Diane N. Rafizadeh for helpful comments and critical feedback.</t>
  </si>
  <si>
    <t>0002-7863</t>
  </si>
  <si>
    <t>1520-5126</t>
  </si>
  <si>
    <t>J AM CHEM SOC</t>
  </si>
  <si>
    <t>J. Am. Chem. Soc.</t>
  </si>
  <si>
    <t>APR 29</t>
  </si>
  <si>
    <t>10.1021/jacs.6c00833</t>
  </si>
  <si>
    <t>Chemistry, Multidisciplinary</t>
  </si>
  <si>
    <t>Chemistry</t>
  </si>
  <si>
    <t>HG2IY</t>
  </si>
  <si>
    <t>WOS:001742376300001</t>
  </si>
  <si>
    <t>Rai, RK; Serra-Maia, R; Shi, YJ; Psarras, P; Vojvodic, A; Stach, EA</t>
  </si>
  <si>
    <t>Rai, Rajeev Kumar; Serra-Maia, Rui; Shi, Yingjie; Psarras, Peter; Vojvodic, Aleksandra; Stach, Eric A.</t>
  </si>
  <si>
    <t>Enhanced mineral carbonation on surface functionalized MgO as a proxy for mine tailings</t>
  </si>
  <si>
    <t>ENVIRONMENTAL SCIENCE-NANO</t>
  </si>
  <si>
    <t>CO2 CAPTURE; ADSORPTION; DIOXIDE; STORAGE; TEMPERATURE</t>
  </si>
  <si>
    <t>The escalating demands of industrialization and development underscore the necessity for an efficient and scalable carbon capture and storage (CCS) methodology. Mineral carbonation of MgO presents itself as a promising solution due to its considerable theoretical capacity for CO2 adsorption. However, the sluggish kinetics of the carbonation process pose a significant challenge. Consequently, a comprehensive understanding of the structural and chemical alterations occurring during carbonation is imperative for material design. In this study, we conduct a thorough structural and chemical investigation of the MgO (sourced from different mine tailings) carbonation process using electron microscopic techniques. Our findings demonstrate that treating MgO with polar solvents enhances its degree of carbonation significantly, offering a promising avenue for improvement. Moreover, we observe a particle size dependency in MgO carbonation and note that the inclusion of additional materials, such as Si-based compounds, further accelerates the carbonation. Density functional theory (DFT) calculations provide insight into surface functionalization as a result of solvent treatment and its mechanistic effect on the origin of the enhanced carbonation of polar solvent-treated MgO, revealing a stronger interaction between CO2 and the treated MgO (100) surface as compared to the non-polar solvent treated surfaces. These discoveries showcase an alternative approach for enhancing MgO carbonation, thereby offering a potential method for sequestering atmospheric CO2 more effectively using mine waste rich in MgO.</t>
  </si>
  <si>
    <t>[Rai, Rajeev Kumar; Serra-Maia, Rui; Stach, Eric A.] Univ Penn, Dept Mat Sci &amp; Engn, Philadelphia, PA 19104 USA; [Shi, Yingjie; Psarras, Peter; Vojvodic, Aleksandra] Univ Penn, Dept Chem &amp; Biomol Engn, Philadelphia, PA 19104 USA</t>
  </si>
  <si>
    <t>Stach, EA (corresponding author), Univ Penn, Dept Mat Sci &amp; Engn, Philadelphia, PA 19104 USA.;Vojvodic, A (corresponding author), Univ Penn, Dept Chem &amp; Biomol Engn, Philadelphia, PA 19104 USA.</t>
  </si>
  <si>
    <t>stach@seas.upenn.edu</t>
  </si>
  <si>
    <t>Shi, Yingjie/LLK-4393-2024; Vojvodic, Aleksandra/C-3383-2014; Serra Maia, Rui/PMF-6601-2026; Stach, Eric/D-8545-2011</t>
  </si>
  <si>
    <t>Vojvodic, Aleksandra/0000-0002-5584-6711; Stach, Eric/0000-0002-3366-2153</t>
  </si>
  <si>
    <t>University of Pennsylvania; Vagelos Institute for Energy Science and Technology (University of Pennsylvania) [NNCI-2025608]; NSF National Nanotechnology Coordinated Infrastructure Program [DMR-1720530, DMR-2309043]; NSF through the University of Pennsylvania Materials Research Science and Engineering Center (MRSEC); Canadian Institute for Advanced Research (CIFAR); Accelerated Decarbonization Program</t>
  </si>
  <si>
    <t>University of Pennsylvania; Vagelos Institute for Energy Science and Technology (University of Pennsylvania); NSF National Nanotechnology Coordinated Infrastructure Program; NSF through the University of Pennsylvania Materials Research Science and Engineering Center (MRSEC)(National Science Foundation (NSF)); Canadian Institute for Advanced Research (CIFAR)(Canadian Institute for Advanced Research (CIFAR)); Accelerated Decarbonization Program</t>
  </si>
  <si>
    <t>The authors thank the Vagelos Institute for Energy Science and Technology (University of Pennsylvania) for support through a seed grant. This work was carried out in part at the Singh Center for Nanotechnology, which is supported by NSF National Nanotechnology Coordinated Infrastructure Program under grant NNCI-2025608. Additional support from the NSF through the University of Pennsylvania Materials Research Science and Engineering Center (MRSEC) (DMR-1720530; DMR-2309043) is acknowledged. A. V. acknowledges the Canadian Institute for Advanced Research (CIFAR) for support through the The Accelerated Decarbonization Program.</t>
  </si>
  <si>
    <t>2051-8153</t>
  </si>
  <si>
    <t>2051-8161</t>
  </si>
  <si>
    <t>ENVIRON SCI-NANO</t>
  </si>
  <si>
    <t>Environ. Sci.-Nano</t>
  </si>
  <si>
    <t>MAY 16</t>
  </si>
  <si>
    <t>10.1039/d4en00940a</t>
  </si>
  <si>
    <t>Chemistry, Multidisciplinary; Environmental Sciences; Nanoscience &amp; Nanotechnology</t>
  </si>
  <si>
    <t>Chemistry; Environmental Sciences &amp; Ecology; Science &amp; Technology - Other Topics</t>
  </si>
  <si>
    <t>2QW3M</t>
  </si>
  <si>
    <t>WOS:001458492400001</t>
  </si>
  <si>
    <t>Leblanc, C; Cho, H; Zhang, YN; Song, S; Anderson, Z; He, YF; Chen, C; Rai, RK; Redwing, JM; Stach, EA; Olsson, RH III; Jariwala, D</t>
  </si>
  <si>
    <t>Leblanc, Chloe; Cho, Hyunmin; Zhang, Yinuo; Song, Seunguk; Anderson, Zachary; He, Yunfei; Chen, Chen; Rai, Rajeev Kumar; Redwing, Joan M.; Stach, Eric A.; Olsson III, Roy H.; Jariwala, Deep</t>
  </si>
  <si>
    <t>Low-voltage ferroelectric field-effect transistors with ultrathin aluminum scandium nitride and 2D channels</t>
  </si>
  <si>
    <t>DEVICE</t>
  </si>
  <si>
    <t>Highlights; ferroelectric material (aluminum</t>
  </si>
  <si>
    <t>BIG DATA; FUTURE</t>
  </si>
  <si>
    <t>CMOS technology demands materials and architectures that emphasize low power consumption, particularlyforcomputations involving large-scale data processing and multivariable optimization. Ferroelectric materials offer solutions through enabling dual-purpose memory units that perform both storage and logic operations. In this study, we demonstrate ferroelectric field-effect transistors (FeFETs) with two-dimensional (2D) molybdenum disulfide (MoS2) channels fabricated on ultrathin 5-and 10-nm ferroelectric aluminum scandium nitride (Al1_xScxN). By decreasing the thickness of the ferroelectric film, we reduced the gate voltages (&lt;3 V) required to switch the device conductance, enabling low-voltage operation. We observe a crossover in hysteresis behavior that varies with film thickness, channel fabrication method, and environmental conditions. Through an investigation of multiple parameters, including fabrication, scandium content, and dimensional scaling, we provide pathways to improve device performance.</t>
  </si>
  <si>
    <t>[Leblanc, Chloe; Cho, Hyunmin; Zhang, Yinuo; Song, Seunguk; Anderson, Zachary; He, Yunfei; Olsson III, Roy H.; Jariwala, Deep] Univ Penn, Dept Elect &amp; Syst Engn, Philadelphia, PA 19104 USA; [Song, Seunguk] Sungkyunkwan Univ SKKU, Dept Energy Sci, Suwon 16419, South Korea; [Chen, Chen; Redwing, Joan M.] Inst Basic Sci IBS, Ctr 2D Quantum Heterostruct 2DQH, Suwon 16419, South Korea; [Rai, Rajeev Kumar; Stach, Eric A.] Penn State Univ, Mat Res Inst, 2D Crystal Consortium Mat Innovat Platform, University Pk, PA 16802 USA; [Jariwala, Deep] Univ Penn, Dept Mat Sci &amp; Engn, Philadelphia, PA 19104 USA</t>
  </si>
  <si>
    <t>University of Pennsylvania; Sungkyunkwan University (SKKU); Institute for Basic Science - Korea (IBS); Pennsylvania Commonwealth System of Higher Education (PCSHE); Pennsylvania State University; Pennsylvania State University - University Park; University of Pennsylvania</t>
  </si>
  <si>
    <t>Jariwala, D (corresponding author), Univ Penn, Dept Elect &amp; Syst Engn, Philadelphia, PA 19104 USA.</t>
  </si>
  <si>
    <t>dmj@seas.upenn.edu</t>
  </si>
  <si>
    <t>Jariwala, Deep/E-9913-2013; Stach, Eric/AEW-3315-2022; Redwing, Joan/V-7528-2017</t>
  </si>
  <si>
    <t>Intel Corporation; National Research Foundation of Korea - Ministry of Education [2021R1A6A3A14038492]; NSF [DMR-2039351]; NSF National Nanotechnology Coordinated Infrastructure Program [NNCI-2025608]; University of Pennsylvania Materials Research Science and Engineering Center (MRSEC) [DMR-2309043]</t>
  </si>
  <si>
    <t>Intel Corporation(Intel Corporation); National Research Foundation of Korea - Ministry of Education(Ministry of Education (MOE), Republic of KoreaNational Research Foundation of Korea); NSF(National Science Foundation (NSF)); NSF National Nanotechnology Coordinated Infrastructure Program; University of Pennsylvania Materials Research Science and Engineering Center (MRSEC)</t>
  </si>
  <si>
    <t>C.L., Y.Z., H.C., R.H.O., and D.J. acknowledge support for this work from the Intel Corporation under the SRS program. The authors also gratefully acknowledge the help and support provided by Shriram Shivaraman from Intel. S.S. acknowledges support for this work by the Basic Science Research Program through the National Research Foundation of Korea, funded by the Ministry of Education (grant number 2021R1A6A3A14038492). The MoS2 monolayer samples were provided by the 2D Crystal Consortium-Materials Innovation Platform (2DCC-MIP) facility at the Pennsylvania State University, which is funded by NSF under cooperative agreement DMR-2039351. A portion of this work was carried out in part at the Singh Centerfor Nanotechnology, which is supported by the NSF National Nanotechnology Coordinated Infrastructure Program under grant NNCI-2025608. Additional support to the Nanoscale Characterization Facility at the Singh Center was provided by the University of Pennsylvania Materials Research Science and Engineering Center (MRSEC) DMR-2309043.</t>
  </si>
  <si>
    <t>2666-9986</t>
  </si>
  <si>
    <t>Device</t>
  </si>
  <si>
    <t>MAR 20</t>
  </si>
  <si>
    <t>10.1016/j.device.2025.100989</t>
  </si>
  <si>
    <t>FP7PJ</t>
  </si>
  <si>
    <t>WOS:001724484000001</t>
  </si>
  <si>
    <t>Sun, K; Kim, YC; Composto, RJ; Winey, KI</t>
  </si>
  <si>
    <t>Sun, Katie; Kim, Ye Chan; Composto, Russell J.; Winey, Karen I.</t>
  </si>
  <si>
    <t>Gold Nanoparticle Adsorption in Covalently Bonded Weak Polyelectrolyte Brushes</t>
  </si>
  <si>
    <t>RESPONSIVE POLYMER BRUSHES; SURFACE; MORPHOLOGY; BEHAVIOR; DENSITY</t>
  </si>
  <si>
    <t>The adsorption of spherical citrate-coated gold nanoparticles (AuNPs) into poly(2-vinylpyridine) (P2VP) brushes was investigated using a quartz crystal microbalance with dissipation (QCM-D). This study examined the impacts of environmental pH and brush molecular weight (10 and 53 kg/mol) on AuNP adsorption kinetics and areal number densities. We synthesized and characterized the P2VP brushes, grafted onto a poly(glycidyl methacrylate) (PGMA) priming layer, on both silicon wafers and QCM-D sensors. Adsorption experiments explored the pH-dependent adsorption behavior of 10- and 20-nm diameter AuNPs. The QCM-D data show that higher molecular weight brushes enhanced AuNP uptake. At pH = 4.0, the swollen brushes promote greater adsorption compared with the collapsed brush state at pH = 6.2. This study highlights the advantages of the homopolymer brush architecture compared with the block copolymer brush architecture from our previous work. Additionally, it reaffirms the pH-mediated size selectivity observed in our prior study, where the smaller 10 nm AuNPs show preferential adsorption at higher pH. These findings provide insights into the impacts of brush molecular weight and environmental conditions on nanoparticle adsorption, with implications for designing smart surfaces for sensing and filtration applications.</t>
  </si>
  <si>
    <t>[Sun, Katie; Kim, Ye Chan; Composto, Russell J.; Winey, Karen I.] Univ Penn, Dept Mat Sci &amp; Engn, Philadelphia, PA 19104 USA; [Winey, Karen I.] Univ Penn, Dept Chem &amp; Biomol Engn, Philadelphia, PA 19104 USA</t>
  </si>
  <si>
    <t>Composto, RJ; Winey, KI (corresponding author), Univ Penn, Dept Mat Sci &amp; Engn, Philadelphia, PA 19104 USA.;Winey, KI (corresponding author), Univ Penn, Dept Chem &amp; Biomol Engn, Philadelphia, PA 19104 USA.</t>
  </si>
  <si>
    <t>composto@seas.upenn.edu; winey@seas.upenn.edu</t>
  </si>
  <si>
    <t>Kim, Yechan/0000-0002-5122-9716; Composto, Russell/0000-0002-5906-2594; Winey, Karen/0000-0001-5856-3410; Sun, Katie/0009-0001-6030-8379</t>
  </si>
  <si>
    <t>Division of Materials Research [NSF-CBET-2034122]; Laboratory for Research on the Structure of Matter; NSF through the University of Pennsylvania Materials Research Science and Engineering Center (MRSEC) [DMR-2309043]; NSF National Nanotechnology Coordinated Infrastructure Program [NNCI-2025608]</t>
  </si>
  <si>
    <t>Division of Materials Research(National Science Foundation (NSF)NSF - Directorate for Mathematical &amp; Physical Sciences (MPS)); Laboratory for Research on the Structure of Matter; NSF through the University of Pennsylvania Materials Research Science and Engineering Center (MRSEC)(National Science Foundation (NSF)); NSF National Nanotechnology Coordinated Infrastructure Program</t>
  </si>
  <si>
    <t>The authors acknowledge funding from NSF-CBET-2034122. The authors also gratefully acknowledge Prof. Daeyeon Lee and Dr. Hyun Su Lee for supporting QCM-D experiments. The authors acknowledge the use of facilities supported by the Laboratory for Research on the Structure of Matter and the NSF through the University of Pennsylvania Materials Research Science and Engineering Center (MRSEC) DMR-2309043. This work was carried out in part at the Singh Center for Nanotechnology, which is supported by the NSF National Nanotechnology Coordinated Infrastructure Program under grant NNCI-2025608.</t>
  </si>
  <si>
    <t>FEB 28</t>
  </si>
  <si>
    <t>10.1021/acs.macromol.4c02332</t>
  </si>
  <si>
    <t>0AJ1Q</t>
  </si>
  <si>
    <t>WOS:001435072300001</t>
  </si>
  <si>
    <t>Fancher, S; Sarpangala, N; Purohit, PK; Katifori, E</t>
  </si>
  <si>
    <t>Fancher, Sean; Sarpangala, Niranjan; Purohit, Prashant K.; Katifori, Eleni</t>
  </si>
  <si>
    <t>Analysis of disordered trusses using network Laplacians</t>
  </si>
  <si>
    <t>WAVE-PROPAGATION</t>
  </si>
  <si>
    <t>Truss structures, with distributed mass elements, at macro-scale are common in a number of engineering applications and are now being increasingly used at the micro-scale to construct metamaterials. In analyzing the properties of a given truss structure, it is often necessary to understand how stress waves propagate through the system and or its dynamic modes under time dependent loading so as to allow for maximally efficient use of space and material. This can be a computationally challenging task for particularly large or complex structures, with current methods requiring fine spatial discretization or evaluations of sizable matrices. Here we present a spectral method to compute the dynamics of trusses inspired by results from fluid flow networks. Our model accounts for the full dynamics of linearly elastic truss elements via a network Laplacian; a matrix object which couples the motions of the structure joints. We show that this method is equivalent to the continuum limit of linear finite element methods as well as capable of reproducing natural frequencies and modes determined by more complex and computationally costlier methods. Our results show that balls-and-springs models inadequately describe dynamics, especially at short times relative to wave propagation time through rods. Furthermore, we illustrate the method's utility in optimizing target joint displacements using impedance matching and resonance-based schemes, offering a computationally efficient approach for analyzing large, complex truss structures.</t>
  </si>
  <si>
    <t>[Fancher, Sean; Sarpangala, Niranjan; Katifori, Eleni] Univ Penn, Dept Phys &amp; Astron, Philadelphia, PA 19104 USA; [Fancher, Sean] Univ Michigan, Dept Biophys, Ann Arbor, MI USA; [Purohit, Prashant K.] Univ Penn, Dept Mech Engn &amp; Appl Mech, Philadelphia, PA USA; [Katifori, Eleni] Flatiron Inst, Ctr Computat Biol, New York, NY 10010 USA; [Fancher, Sean] Univ Michigan, Dept Phys, Ann Arbor, MI USA</t>
  </si>
  <si>
    <t>University of Pennsylvania; University of Michigan System; University of Michigan; University of Pennsylvania; Simons Foundation; Flatiron Institute; University of Michigan System; University of Michigan</t>
  </si>
  <si>
    <t>Katifori, E (corresponding author), Univ Penn, Dept Phys &amp; Astron, Philadelphia, PA 19104 USA.;Katifori, E (corresponding author), Flatiron Inst, Ctr Computat Biol, New York, NY 10010 USA.</t>
  </si>
  <si>
    <t>katifori@sas.upenn.edu</t>
  </si>
  <si>
    <t>; Sarpangala, Niranjan/PSL-4477-2026</t>
  </si>
  <si>
    <t>Purohit, Prashant/0000-0002-1939-907X; Sarpangala, Niranjan/0000-0002-0947-1488</t>
  </si>
  <si>
    <t>University of Pennsylvania Materials Research Science and Engineering Center (MRSEC) [DMR- 1720530, DMR-2309043, DMR-1720530]; Simons Foundation [568888]</t>
  </si>
  <si>
    <t>University of Pennsylvania Materials Research Science and Engineering Center (MRSEC); Simons Foundation(Simons Foundation)</t>
  </si>
  <si>
    <t>This research was funded by the Army Research Office (ARO) through the Multidisciplinary University Initiative (MURI) Grant No. W911NF2210219, the University of Pennsylvania Materials Research Science and Engineering Center (MRSEC) through Grant No. DMR-1720530 and DMR-2309043 and the Simons Foundation through Grant No. 568888. PKP acknowledges support for this work through a seed grant from Penn's Materials Science and Engineering Center (MRSEC) grant DMR-1720530.</t>
  </si>
  <si>
    <t>DEC 3</t>
  </si>
  <si>
    <t>10.1039/d5sm00619h</t>
  </si>
  <si>
    <t>OCT 2025</t>
  </si>
  <si>
    <t>L7659</t>
  </si>
  <si>
    <t>WOS:001607649800001</t>
  </si>
  <si>
    <t>Vigil, DL; Ferko, BT; Saumer, A; Mecking, S; Stevens, MJ; Winey, KI; Frischknecht, AL</t>
  </si>
  <si>
    <t>Vigil, Daniel L.; Ferko, Benjamin T.; Saumer, Anne; Mecking, Stefan; Stevens, Mark J.; Winey, Karen I.; Frischknecht, Amalie L.</t>
  </si>
  <si>
    <t>Partial Solvation of Lithium Ions Enhances Conductivity in a Nanophase-Separated Polymer Electrolyte</t>
  </si>
  <si>
    <t>HYDROGEN-BOND DYNAMICS; LIQUID ELECTROLYTES; TRANSFERENCE NUMBER; FORCE-FIELD; TRANSPORT; SIMULATIONS; COPOLYMERS; PHASE</t>
  </si>
  <si>
    <t>We demonstrate that a multiblock lithium-ion-conducting polymer can be swollen with ethylene carbonate solvent to increase the conductivity relative to the dry polymer material by nearly 4 orders of magnitude. This increase is due to the partial solvation of lithium ions by ethylene carbonate, which leads to Li+ diffusion along the solvent-polymer interface. This differs from the vehicular transport mechanism for lithium ions in pure solvent. We use a combination of broadband dielectric spectroscopy, X-ray scattering, and all-atom molecular dynamics simulations to probe the effect of the solvent on the polymer morphology and to elucidate the mechanism of lithium ion transport.</t>
  </si>
  <si>
    <t>[Vigil, Daniel L.; Stevens, Mark J.; Frischknecht, Amalie L.] Sandia Natl Labs, Ctr Integrated Nanotechnol, Albuquerque, NM 87185 USA; [Ferko, Benjamin T.; Winey, Karen I.] Univ Penn, Dept Mat Sci &amp; Engn, Philadelphia, PA 19104 USA; [Saumer, Anne; Mecking, Stefan] Univ Konstanz, Dept Chem, D-78457 Constance, Germany; [Winey, Karen I.] Univ Penn, Dept Chem &amp; Biomol Engn, Philadelphia, PA 19104 USA</t>
  </si>
  <si>
    <t>United States Department of Energy (DOE); Sandia National Laboratories; University of Pennsylvania; University of Konstanz; University of Pennsylvania</t>
  </si>
  <si>
    <t>Stevens, MJ; Frischknecht, AL (corresponding author), Sandia Natl Labs, Ctr Integrated Nanotechnol, Albuquerque, NM 87185 USA.;Winey, KI (corresponding author), Univ Penn, Dept Mat Sci &amp; Engn, Philadelphia, PA 19104 USA.;Winey, KI (corresponding author), Univ Penn, Dept Chem &amp; Biomol Engn, Philadelphia, PA 19104 USA.</t>
  </si>
  <si>
    <t>msteve@sandia.gov; winey@seas.upenn.edu; alfrisc@sandia.gov</t>
  </si>
  <si>
    <t>Mecking, Stefan/E-6991-2012; Frischknecht, Amalie/N-1020-2014; Winey, Karen/HJH-7326-2023</t>
  </si>
  <si>
    <t>Mecking, Stefan/0000-0002-6618-6659; Ferko, Benjamin/0009-0006-3808-1610; Frischknecht, Amalie/0000-0003-2112-2587; Vigil, Daniel/0000-0001-9860-0888; Winey, Karen/0000-0001-5856-3410; Saumer, Anne/0000-0002-6103-4402</t>
  </si>
  <si>
    <t>U.S. Department of Energy (DOE) Office of Science; U.S. Department of Energy's National Nuclear Security Administration [DE-NA-0003525]; NSF [DMR 1904767, DMR-2309043]; Baden-Wurttemberg Foundation</t>
  </si>
  <si>
    <t>U.S. Department of Energy (DOE) Office of Science(United States Department of Energy (DOE)); U.S. Department of Energy's National Nuclear Security Administration(National Nuclear Security Administration); NSF(National Science Foundation (NSF)); Baden-Wurttemberg Foundation</t>
  </si>
  <si>
    <t>This work was performed, in part, at the Center for Integrated Nanotechnologies, an Office of Science User Facility operated for the U.S. Department of Energy (DOE) Office of Science. Sandia National Laboratories is a multimission laboratory managed and operated by the National Technology and Engineering Solutions of Sandia, LLC, a wholly owned subsidiary of Honeywell International, Inc., for the U.S. Department of Energy's National Nuclear Security Administration under contract DE-NA-0003525. The views expressed in the article do not necessarily represent the views of the U.S. DOE or the United States Government. B.F. and K.I.W. acknowledge NSF-DMR 1904767. The authors also acknowledge the use of the Dual Source and Environmental X-ray Scattering facility operated by the Laboratory for Research on the Structure of Matter at the University of Pennsylvania supported by the NSF through the DMR-2309043 grant. We thank Alain Plante for the use of his TGA. Funding by the Baden-Wurttemberg Foundation (project PRICON) is gratefully acknowledged.</t>
  </si>
  <si>
    <t>SEP 28</t>
  </si>
  <si>
    <t>10.1021/acs.chemmater.4c02398</t>
  </si>
  <si>
    <t>I2M7P</t>
  </si>
  <si>
    <t>WOS:001324872600001</t>
  </si>
  <si>
    <t>Bodkin, LN; Johnson, CW; Culley, KE; Krajnak, ZA; Hage, JR; Kim, NK; Osuji, CO; Gin, DL</t>
  </si>
  <si>
    <t>Bodkin, Lauren N.; Johnson, Christopher W.; Culley, Keira E.; Krajnak, Zachary A.; Hage, Jeffrey R.; Kim, Na Kyung; Osuji, Chinedum O.; Gin, Douglas L.</t>
  </si>
  <si>
    <t>Effect of localized control of cross-link density on mechanical properties of bicontinuous cubic lyotropic networks via copolymerization with different singly-polymerizable monomers</t>
  </si>
  <si>
    <t>Liquid crystals; Lyotropic network; Bicontinuous cubic; Cross-link density; Mechanical properties</t>
  </si>
  <si>
    <t>MEMBRANES; ASSEMBLIES; UNIFORM</t>
  </si>
  <si>
    <t>Two singly-polymerizable analogs of a bicontinuous cubic (Q) phase, lyotropic liquid crystal (LLC) (i.e., amphiphilic) cross-linking monomer were designed and synthesized as phase-compatible, non-cross-linkable comonomers. These were copolymerized with the parent, single-head/single-tail cross-linking monomer to locally control the cross-link density in either the hydrophobic tail or hydrophilic headgroup regions of the Q phase and study their effect on the mechanical properties of the resulting polymer networks. Structure-property relationships were elucidated: (1) Blends with smaller amounts of the parent cross-linking monomer relative to noncross-linkable analog exhibit progressively lower endpoint stress and Young's modulus values. (2) A decrease in cross-link density also influences the pliability of each sample as there appears to be a threshold (i.e., minimum) cross-link density that must be exceeded before stretchability is significantly affected. (3) Each LLC-based structural motif tolerates different levels of non-cross-linkable analog, shifting the stress-strain behavior of these cross-linked Q-phase materials.</t>
  </si>
  <si>
    <t>[Bodkin, Lauren N.; Culley, Keira E.; Krajnak, Zachary A.; Hage, Jeffrey R.; Gin, Douglas L.] Univ Colorado, Dept Chem, Boulder, CO 80309 USA; [Johnson, Christopher W.; Kim, Na Kyung; Osuji, Chinedum O.] Univ Penn, Dept Chem &amp; Biomol Engn, Philadelphia, PA 19104 USA</t>
  </si>
  <si>
    <t>University of Colorado System; University of Colorado Boulder; University of Pennsylvania</t>
  </si>
  <si>
    <t>Gin, DL (corresponding author), Univ Colorado, Dept Chem, Boulder, CO 80309 USA.</t>
  </si>
  <si>
    <t>douglas.gin@colorado.edu</t>
  </si>
  <si>
    <t>Culley, Keira/HLX-2867-2023; Johnson, Christopher/OLS-0029-2025; Kim, Na Kyung/IQS-1278-2023; Gin, Douglas/AAW-5360-2021</t>
  </si>
  <si>
    <t>Culley, Keira/0009-0008-3605-0030; Johnson, Christopher/0009-0009-2395-007X; Bodkin, Lauren/0000-0002-7633-300X; Hage, Jeffrey/0009-0008-7221-5680</t>
  </si>
  <si>
    <t>Joint Science and Technology Office for Chemical Biological Defense (JSTO CBD) [CB10872]; NSF [DMR-1945966, CBET-2010890, DMR-2309043]</t>
  </si>
  <si>
    <t>Joint Science and Technology Office for Chemical Biological Defense (JSTO CBD)(United States Department of DefenseDefense Threat Reduction Agency); NSF(National Science Foundation (NSF))</t>
  </si>
  <si>
    <t>L. N. B. and D. L. G. thank the Joint Science and Technology Office for Chemical Biological Defense (JSTO CBD) for partial funding of this work under CB10872. C. W. J. acknowledges NSF support through DMR-1945966 and CBET-2010890, respectively. The authors acknowledge use of the Dual Source and Environmental X-ray Scattering facility operated by the Laboratory for Research on the Structure of Matter at the University of Pennsylvania supported by NSF through grant DMR-2309043</t>
  </si>
  <si>
    <t>JAN 12</t>
  </si>
  <si>
    <t>10.1016/j.polymer.2023.126615</t>
  </si>
  <si>
    <t>DEC 2023</t>
  </si>
  <si>
    <t>FT0Z9</t>
  </si>
  <si>
    <t>WOS:001148002200001</t>
  </si>
  <si>
    <t>Oh, SM; Lee, VS; Drayer, WF; Win, MS; Jones, LF; Leo, CM; Kennemur, JG; Frischknecht, AL; Winey, KI</t>
  </si>
  <si>
    <t>Oh, Sol Mi; Lee, Victoria S.; Drayer, William F.; Win, Max S.; Jones, Lindsay F.; Leo, Courtney M.; Kennemur, Justin G.; Frischknecht, Amalie L.; Winey, Karen I.</t>
  </si>
  <si>
    <t>Effect of Sulfonation Level on the Percolated Morphology and Proton Conductivity of Hydrated Fluorine-Free Copolymers: Experiments and Simulations</t>
  </si>
  <si>
    <t>JACS AU</t>
  </si>
  <si>
    <t>proton exchange membrane; proton conductivity; MD simulations; fluorine-free polymer</t>
  </si>
  <si>
    <t>POLYMER ELECTROLYTE MEMBRANES; SULFONIC-ACID GROUPS; POLY(ARYLENE ETHER)S; EXCHANGE MEMBRANE; COMPOSITE MEMBRANES; PENDANT; PERFORMANCE; GROTTHUSS; TRANSPORT; SPEEK</t>
  </si>
  <si>
    <t>Using all-atom molecular dynamics simulations and a variety of experimental methods, we previously reported on a linear polyethylene with pendant phenyl sulfonated groups precisely on every fifth carbon along the backbone. With increasing relative humidity this fluorine-free polymer self-assembled to form nanoscale water channels and exhibited exceptional proton conductivity. Expanding upon those findings, here we explore partially sulfonated random copolymers, referred to as p5PhSH-Y. Using either acetyl sulfate or sulfuric acid, a wide range of sulfonation levels were prepared (Y = 34-98%) corresponding to ion-exchange capacities (IEC) of 2.0-4.4 mmol/g. Combining experimental techniques and all-atom molecular dynamics simulations, we study the effect of Y on water uptake, nanoscale morphology, and the proton/water transport properties of p5PhSH-Y. The proton conductivity of p5PhSH-Y increases with relative humidity and with Y and achieves values in excess of 0.1 S/cm. These high conductivities are attributed to high IEC and well-developed nanoscale percolated hydrophilic domains made possible by the flexible backbone. We quantitatively describe the nature of the water channels using the characteristic distance, channel width distribution, the area per sulfonate group at the hydrophilic/hydrophobic interface, and the fractal dimension. Notably, the channel widths and the areas per sulfonate group are nominally independent of the level of sulfonation, while depending significantly on the level of hydration. The fractal dimension of the water channels correlates strongly with the water diffusion coefficients calculated from the molecular dynamics (MD) simulations. These findings demonstrate that the p5PhSH-Y hydrocarbon copolymers can be modified to tune properties, particularly proton conductivity.</t>
  </si>
  <si>
    <t>[Oh, Sol Mi; Lee, Victoria S.; Drayer, William F.; Win, Max S.; Jones, Lindsay F.; Winey, Karen I.] Univ Penn, Dept Mat Sci &amp; Engn, Philadelphia, PA 19104 USA; [Leo, Courtney M.; Kennemur, Justin G.] Florida State Univ, Dept Chem &amp; Biochem, Tallahassee, FL 32306 USA; [Frischknecht, Amalie L.] Sandia Natl Labs, Ctr Integrated Nanotechnol, Albuquerque, NM 87185 USA; [Winey, Karen I.] Univ Penn, Dept Chem &amp; Biomol &amp; Engn, Philadelphia, PA 19104 USA</t>
  </si>
  <si>
    <t>University of Pennsylvania; State University System of Florida; Florida State University; United States Department of Energy (DOE); Sandia National Laboratories; University of Pennsylvania</t>
  </si>
  <si>
    <t>Winey, KI (corresponding author), Univ Penn, Dept Mat Sci &amp; Engn, Philadelphia, PA 19104 USA.;Frischknecht, AL (corresponding author), Sandia Natl Labs, Ctr Integrated Nanotechnol, Albuquerque, NM 87185 USA.;Winey, KI (corresponding author), Univ Penn, Dept Chem &amp; Biomol &amp; Engn, Philadelphia, PA 19104 USA.</t>
  </si>
  <si>
    <t>alfrisc@sandia.gov; winey@seas.upenn.edu</t>
  </si>
  <si>
    <t>; Winey, Karen/HJH-7326-2023; Kennemur, Justin/AHH-3794-2022; Frischknecht, Amalie/N-1020-2014</t>
  </si>
  <si>
    <t>Jones, Lindsay/0000-0001-8289-296X; ayer, William/0000-0003-4419-6597; Win, Max/0000-0002-2077-4180; Oh, Sol Mi/0000-0003-3632-4421; Winey, Karen/0000-0001-5856-3410;</t>
  </si>
  <si>
    <t>Basic Energy Sciences [DE-SC0023386]; Department of Energy (DOE)-Basic Energy Science (BES) Program [DE-NA-0003525]; U.S. DOE's National Nuclear Security Administration; Laboratory for Research on the Structure of Matter [DMR-2309043]; NSF through the University of Pennsylvania Materials Research Science and Engineering Center (MRSEC); NSF Graduate Research Fellowship; DOE Office of Science Graduate Student Research award; U.S. Department of Energy (DOE) [DE-SC0023386] Funding Source: U.S. Department of Energy (DOE)</t>
  </si>
  <si>
    <t>Basic Energy Sciences(United States Department of Energy (DOE)); Department of Energy (DOE)-Basic Energy Science (BES) Program(United States Department of Energy (DOE)); U.S. DOE's National Nuclear Security Administration(National Nuclear Security Administration); Laboratory for Research on the Structure of Matter; NSF through the University of Pennsylvania Materials Research Science and Engineering Center (MRSEC)(National Science Foundation (NSF)); NSF Graduate Research Fellowship(National Science Foundation (NSF)); DOE Office of Science Graduate Student Research award(United States Department of Energy (DOE)); U.S. Department of Energy (DOE)(United States Department of Energy (DOE))</t>
  </si>
  <si>
    <t>We gratefully acknowledge funding from the Department of Energy (DOE)-Basic Energy Science (BES) Program under Grant No. DE-SC0023386. This work was performed, in part, at the Center for Integrated Nanotechnologies, an Office of Science User Facility operated for the U.S. Department of Energy (DOE) Office of Science. Sandia National Laboratories is a multimission laboratory managed and operated by National Technology and Engineering Solutions of Sandia, LLC, a wholly owned subsidiary of Honeywell International, Inc., for the U.S. DOE's National Nuclear Security Administration under contract DE-NA-0003525. The views expressed in the article do not necessarily represent the views of the U.S. DOE or the United States Government. The authors acknowledge the use of facilities supported by the Laboratory for Research on the Structure of Matter and the NSF through the University of Pennsylvania Materials Research Science and Engineering Center (MRSEC) DMR-2309043. The PGSE-NMR data was measured by UNI500, the Bruker AVANCE AVIII500 MHz NMR spectrometer at the University of Pennsylvania NMR Facility. We thank Andrew Boudreau at Nation Renewable Energy Laboratory (NREL) for measuring the preliminary water uptake data of p5PhSH-Y materials and providing insight. M.S.W. acknowledges funding from a NSF Graduate Research Fellowship and a DOE Office of Science Graduate Student Research award to visit the Center for Integrated Nanotechnologies at Sandia National Laboratories.</t>
  </si>
  <si>
    <t>2691-3704</t>
  </si>
  <si>
    <t>JACS Au</t>
  </si>
  <si>
    <t>JUN 5</t>
  </si>
  <si>
    <t>10.1021/jacsau.5c00218</t>
  </si>
  <si>
    <t>4HD7E</t>
  </si>
  <si>
    <t>WOS:001503506600001</t>
  </si>
  <si>
    <t>Koh, H; Das, S; Zhang, YH; Detsi, E; Stach, EA</t>
  </si>
  <si>
    <t>Koh, Hyeongjun; Das, Swarnendu; Zhang, Yihui; Detsi, Eric; Stach, Eric A.</t>
  </si>
  <si>
    <t>Electron Beam-Induced Artifacts in SEI Characterization: Evidence from Controlled-Dose Diffraction Studies</t>
  </si>
  <si>
    <t>ACS ENERGY LETTERS</t>
  </si>
  <si>
    <t>LITHIUM-METAL; FLUCTUATION MICROSCOPY; INTERPHASES; INTERFACES</t>
  </si>
  <si>
    <t>Solid electrolyte interphases (SEIs) directly influence Li-metal battery performance. Recent studies have characterized SEI structures using cryogenic electron microscopy but have failed to carefully consider the effect of the electron dose. We investigated this issue using selected-area electron diffraction and scanning electron nanobeam diffraction. Our findings indicate that SEIs are largely amorphous and that they are extremely beam-sensitive and thus prone to beam-induced artifacts. We show that controlled-flux scanning electron beam techniques, particularly nanobeam diffraction, allow observation of intact SEI structures. This approach enables accurate characterization without introducing artifacts, advancing our understanding and optimization of these crucial interfaces in Li-metal battery systems.</t>
  </si>
  <si>
    <t>[Koh, Hyeongjun; Das, Swarnendu; Zhang, Yihui; Detsi, Eric; Stach, Eric A.] Univ Penn, Dept Mat Sci &amp; Engn, Philadelphia, PA 19104 USA; [Koh, Hyeongjun] Princeton Univ, Andlinger Ctr Energy &amp; Environm, Princeton, NJ 08540 USA; [Stach, Eric A.] Univ Penn, Lab Res Struct Matter, Philadelphia, PA 19104 USA</t>
  </si>
  <si>
    <t>University of Pennsylvania; Princeton University; University of Pennsylvania</t>
  </si>
  <si>
    <t>Stach, EA (corresponding author), Univ Penn, Dept Mat Sci &amp; Engn, Philadelphia, PA 19104 USA.;Stach, EA (corresponding author), Univ Penn, Lab Res Struct Matter, Philadelphia, PA 19104 USA.</t>
  </si>
  <si>
    <t>; Stach, Eric/D-8545-2011; Zhang, Yihui/JBS-7409-2023</t>
  </si>
  <si>
    <t>Das, Swarnendu/0009-0008-5197-6763; Stach, Eric/0000-0002-3366-2153;</t>
  </si>
  <si>
    <t>Division of Materials Research [2134715]; National Science Foundation (NSF), Division of Materials Research (DMR), Future Manufacturing Research Grant; School of Engineering and Applied Science at the University of Pennsylvania [NNCI-2025608]; NSF National Nanotechnology Coordinated Infrastructure Program [DMR-1720530, DMR-2309043]; NSF through the University of Pennsylvania Materials Research Science and Engineering Center (MRSEC)</t>
  </si>
  <si>
    <t>Division of Materials Research(National Science Foundation (NSF)NSF - Directorate for Mathematical &amp; Physical Sciences (MPS)); National Science Foundation (NSF), Division of Materials Research (DMR), Future Manufacturing Research Grant(National Science Foundation (NSF)); School of Engineering and Applied Science at the University of Pennsylvania; NSF National Nanotechnology Coordinated Infrastructure Program; NSF through the University of Pennsylvania Materials Research Science and Engineering Center (MRSEC)(National Science Foundation (NSF))</t>
  </si>
  <si>
    <t>H.K, E.D., and E.A.S. gratefully acknowledge primary financial support from the National Science Foundation (NSF), Division of Materials Research (DMR), Future Manufacturing Research Grant #2134715. S.D and Y.Z were supported by the School of Engineering and Applied Science at the University of Pennsylvania. The authors also acknowledge the open access to Py4DSTEM, which made the analysis possible. This work was carried out in part at the Singh Center for Nanotechnology, which is supported by the NSF National Nanotechnology Coordinated Infrastructure Program under grant NNCI-2025608. Additional support for the NSF through the University of Pennsylvania Materials Research Science and Engineering Center (MRSEC) (DMR-1720530; DMR-2309043).</t>
  </si>
  <si>
    <t>2380-8195</t>
  </si>
  <si>
    <t>ACS ENERGY LETT</t>
  </si>
  <si>
    <t>ACS Energy Lett.</t>
  </si>
  <si>
    <t>JAN 2</t>
  </si>
  <si>
    <t>10.1021/acsenergylett.4c03337</t>
  </si>
  <si>
    <t>JAN 2025</t>
  </si>
  <si>
    <t>Chemistry, Physical; Electrochemistry; Energy &amp; Fuels; Nanoscience &amp; Nanotechnology; Materials Science, Multidisciplinary</t>
  </si>
  <si>
    <t>Chemistry; Electrochemistry; Energy &amp; Fuels; Science &amp; Technology - Other Topics; Materials Science</t>
  </si>
  <si>
    <t>S0J9X</t>
  </si>
  <si>
    <t>WOS:001388647400001</t>
  </si>
  <si>
    <t>Yamamoto, E; Gao, TY; Xiao, LQ; Kopera, K; Marth, S; Park, H; Bae, C; Osada, M; Mallouk, TE</t>
  </si>
  <si>
    <t>Yamamoto, Eisuke; Gao, Tianyue; Xiao, Langqiu; Kopera, Kelly; Marth, Sariah; Park, Heemin; Bae, Chulsung; Osada, Minoru; Mallouk, Thomas E.</t>
  </si>
  <si>
    <t>Molecularly Thin Nanosheet Films as Water Dissociation Reaction Catalysts Enhanced by Strong Electric Fields in Bipolar Membranes</t>
  </si>
  <si>
    <t>OXIDE</t>
  </si>
  <si>
    <t>Bipolar membranes (BPMs) are interesting materials for the development of next-generation electrochemical energy conversion and separations processes. One of the key challenges in optimizing BPM performance is enhancing the rate of the water dissociation (WD) reaction. While electric field effects, specifically the second Wien effect, have been demonstrated to enhance the rate of WD reaction, making BPMs with low overpotentials for WD using primary electric field effects has been difficult to achieve. In this study, we constructed an abrupt interfacial structure between the anion exchange membrane (AEM) and cation exchange membrane (CEM) of BPMs to maximize the intensity of local electric field. A film of densely tiled, molecularly thin titanium oxide nanosheets was deposited as the interfacial layer to create an abrupt interface for studying extreme electric field effects. Although BPMs with titanium oxide nanosheet films exhibited higher WD reaction resistance compared to thicker catalyst layers composed of nanoparticles at low current density, they showed superior performance at higher current densities, where strong electric fields were present, and an apparent WD overpotential of 0.25 V at 300 mA cm-2 was extracted from electrochemical impedance measurements. These results highlight the potential of optimizing BPM performance by maximizing the second Wien effect through the utilization of two-dimensionally assembled nanosheet films.</t>
  </si>
  <si>
    <t>[Yamamoto, Eisuke; Osada, Minoru] Nagoya Univ, Inst Mat &amp; Syst Sustainabil IMaSS, Nagoya 4648601, Japan; [Yamamoto, Eisuke; Gao, Tianyue; Xiao, Langqiu; Kopera, Kelly; Mallouk, Thomas E.] Univ Penn, Dept Chem, Philadelphia, PA 19104 USA; [Marth, Sariah; Park, Heemin; Bae, Chulsung] Rensselaer Polytech Inst, Dept Chem &amp; Chem Biol, Troy, NY 12180 USA; [Osada, Minoru] Nagoya Univ, Res Inst Quantum &amp; Chem Innovat, Inst Innovat Future Soc, Nagoya 4648601, Japan; [Mallouk, Thomas E.] Natl Inst Mat Sci NIMS, Int Ctr Mat Nanoarchitecton WPI MANA, Tsukuba, Ibaraki 3050044, Japan</t>
  </si>
  <si>
    <t>Nagoya University; University of Pennsylvania; Rensselaer Polytechnic Institute; Nagoya University; National Institute for Materials Science</t>
  </si>
  <si>
    <t>Yamamoto, E (corresponding author), Nagoya Univ, Inst Mat &amp; Syst Sustainabil IMaSS, Nagoya 4648601, Japan.;Yamamoto, E; Mallouk, TE (corresponding author), Univ Penn, Dept Chem, Philadelphia, PA 19104 USA.;Mallouk, TE (corresponding author), Natl Inst Mat Sci NIMS, Int Ctr Mat Nanoarchitecton WPI MANA, Tsukuba, Ibaraki 3050044, Japan.</t>
  </si>
  <si>
    <t>e-yamamoto@imass.nagoya-u.ac.jp; mallouk@sas.upenn.edu</t>
  </si>
  <si>
    <t>Xiao, Langqiu/HJA-2827-2022; Park, Heemin/GRO-5187-2022; Mallouk, Thomas/K-7391-2012</t>
  </si>
  <si>
    <t>Xiao, Langqiu/0000-0003-0695-3075; Gao, Tianyue/0000-0002-1293-8552; Park, Heemin/0009-0005-7194-3078; Yamamoto, Eisuke/0000-0001-5470-3826; Mallouk, Thomas/0000-0003-4599-4208</t>
  </si>
  <si>
    <t>Division of Materials Research [DE-SC0024713]; U.S. Department of Energy, Office of Science Energy Earthshot Initiative as part of the Center for Ion Management in Electrochemical Systems (CIMES); Vagelos Institute for Energy Science Technology at the University of Pennsylvania [NNCI-2025608]; NSF National Nanotechnology Coordinated Infrastructure Program [DMR-2309043]; NSF through the University of Pennsylvania Materials Research Science and Engineering Center (MRSEC); Nagoya University VBL [JPMJFR235Y]; FOREST program; Vagelos Institute for Energy Science and Technology at the University of Pennsylvania; U.S. Department of Energy (DOE) [DE-SC0024713] Funding Source: U.S. Department of Energy (DOE)</t>
  </si>
  <si>
    <t>Division of Materials Research(National Science Foundation (NSF)NSF - Directorate for Mathematical &amp; Physical Sciences (MPS)); U.S. Department of Energy, Office of Science Energy Earthshot Initiative as part of the Center for Ion Management in Electrochemical Systems (CIMES)(United States Department of Energy (DOE)); Vagelos Institute for Energy Science Technology at the University of Pennsylvania; NSF National Nanotechnology Coordinated Infrastructure Program; NSF through the University of Pennsylvania Materials Research Science and Engineering Center (MRSEC)(National Science Foundation (NSF)); Nagoya University VBL; FOREST program; Vagelos Institute for Energy Science and Technology at the University of Pennsylvania; U.S. Department of Energy (DOE)</t>
  </si>
  <si>
    <t>This work was primarily supported by the U.S. Department of Energy, Office of Science Energy Earthshot Initiative as part of the Center for Ion Management in Electrochemical Systems (CIMES) under Award DE-SC0024713. This work was also supported by the Vagelos Institute for Energy Science Technology at the University of Pennsylvania. Characterization studies were carried out partly at the Singh Center for Nanotechnology at the University of Pennsylvania, supported by the NSF National Nanotechnology Coordinated Infrastructure Program under grant NNCI-2025608. The authors acknowledge the use of an XRD facility supported by the Laboratory for Research on the Structure of Matter and the NSF through the University of Pennsylvania Materials Research Science and Engineering Center (MRSEC) DMR-2309043. E.Y. would like to acknowledge the Nagoya University VBL visiting scholarship and FOREST program (JPMJFR235Y). T.G. and K.K. would like to acknowledge the Vagelos Institute for Energy Science and Technology at the University of Pennsylvania for graduate fellowships. In addition, we thank Sawyer Palsen for his kind help in editing the manuscript.</t>
  </si>
  <si>
    <t>APR 15</t>
  </si>
  <si>
    <t>10.1021/jacs.4c17830</t>
  </si>
  <si>
    <t>APR 2025</t>
  </si>
  <si>
    <t>2CG9L</t>
  </si>
  <si>
    <t>WOS:001467503000001</t>
  </si>
  <si>
    <t>Alfieri, AD; Das, S; Kisslinger, K; Everhart, BM; Leblanc, C; Ford, J; Kagan, CR; Glavin, NR; Stach, EA; Jariwala, D</t>
  </si>
  <si>
    <t>Alfieri, Adam D.; Das, Swarnendu; Kisslinger, Kim; Everhart, Brian M.; Leblanc, Chloe; Ford, Jamie; Kagan, Cherie R.; Glavin, Nicholas R.; Stach, Eric A.; Jariwala, Deep</t>
  </si>
  <si>
    <t>Hydrazine-free precursor for solution-processed all-inorganic Se and Se1-xTex photovoltaics</t>
  </si>
  <si>
    <t>JOURNAL OF MATERIALS CHEMISTRY A</t>
  </si>
  <si>
    <t>SELENIUM; TELLURIUM</t>
  </si>
  <si>
    <t>Selenium (Se) has reemerged as a promising absorber material for indoor and tandem photovoltaics (PVs), and its alloys with Te (Se1-xTex) offer a widely tunable bandgap. Solution processing of this materials system offers a route to low-cost fabrication. However, solution processing of Se has, thus far, only used hydrazine, which is an extremely hazardous solvent. In this work, we prepare and isolate propylammonium poly-Se and poly-Se-Te precursors from a safer thiol-amine solvent system. We formulate molecular inks by dissolving the precursor in dimethylformamide (DMF) with a monoethanolamine (EA) additive and process high-quality Se and Se1-xTex films with bandgaps ranging from 1.20 eV to 1.86 eV. We fabricate PVs from these films using TiO2 and MoO3 charge transport layers (CTLs) to achieve power conversion efficiencies as high as 2.73% for Se and 2.33% for Se0.7Te0.3 under solar simulation. Se devices show excellent stability with no degradation after 1 month in air, enabled by the excellent stability of Se and the use of inorganic CTLs. This work represents an important step towards low-cost solution-phase processing of Se and Se1-xTex alloys for PVs and photodetectors with low toxicity and high bandgap tunability.</t>
  </si>
  <si>
    <t>[Alfieri, Adam D.; Leblanc, Chloe; Kagan, Cherie R.; Jariwala, Deep] Univ Penn, Elect &amp; Syst Engn, Philadelphia, PA 19104 USA; [Das, Swarnendu; Kagan, Cherie R.; Stach, Eric A.] Univ Penn, Mat Sci &amp; Engn, Philadelphia, PA 19104 USA; [Kisslinger, Kim] Brookhaven Natl Lab, Ctr Funct Nanomat, Upton, NY 11973 USA; [Everhart, Brian M.; Glavin, Nicholas R.] Air Force Res Lab, Mat &amp; Mfg Directorate, Wright Patterson Afb, OH 45433 USA; [Ford, Jamie] Univ Penn, Singh Ctr Nanotechnol, Philadelphia, PA 19104 USA; [Kagan, Cherie R.] Univ Penn, Chem, Philadelphia, PA 19104 USA</t>
  </si>
  <si>
    <t>University of Pennsylvania; University of Pennsylvania; United States Department of Energy (DOE); Brookhaven National Laboratory; United States Department of Defense; United States Air Force; US Air Force Research Laboratory; University of Pennsylvania; University of Pennsylvania</t>
  </si>
  <si>
    <t>Jariwala, D (corresponding author), Univ Penn, Elect &amp; Syst Engn, Philadelphia, PA 19104 USA.</t>
  </si>
  <si>
    <t>; Stach, Eric/D-8545-2011; Kisslinger, Kim/F-4485-2014; Ford, Jamie/JNS-1212-2023; Kagan, Cherie/LNQ-7081-2024; Jariwala, Deep/E-9913-2013</t>
  </si>
  <si>
    <t>Alfieri, Adam/0000-0002-1185-981X; Leblanc, Chloe/0009-0006-5418-0125; Everhart, Brian/0000-0001-6808-0471; Das, Swarnendu/0009-0008-5197-6763; Stach, Eric/0000-0002-3366-2153;</t>
  </si>
  <si>
    <t>Vagelos Institute for Energy Science and Technology, University of Pennsylvania [DMR-2309043]; University of Pennsylvania Materials Research Science and Engineering Center (MRSEC); Vagelos Institute for Energy Science and Technology [DMR-2429281]; National Science Foundation (NSF) [DMR-2019444]; IMOD STC; National Research Council Fellowship program [FA9550-24RYCOR011]; Air Force Office of Scientific Research Grant [24IOA046]; Asian Office of Aerospace Research and Development (AOARD) within the Air Force Office of Scientific Research grant; Intel Corporation under the SRS program [NNCI-2025608]; NSF National Nanotechnology Coordinated Infrastructure Program; Department of Materials Science and Engineering Departmental Laboratory at the University of Pennsylvania [MRSEC DMR-2309043]; NSF through the University of Pennsylvania NSF [DE-SC0012704]; U.S. Department of Energy Office of Science User Facility, at Brookhaven National Laboratory</t>
  </si>
  <si>
    <t>Vagelos Institute for Energy Science and Technology, University of Pennsylvania; University of Pennsylvania Materials Research Science and Engineering Center (MRSEC); Vagelos Institute for Energy Science and Technology; National Science Foundation (NSF)(National Science Foundation (NSF)); IMOD STC; National Research Council Fellowship program; Air Force Office of Scientific Research Grant(United States Department of DefenseAir Force Office of Scientific Research (AFOSR)); Asian Office of Aerospace Research and Development (AOARD) within the Air Force Office of Scientific Research grant; Intel Corporation under the SRS program; NSF National Nanotechnology Coordinated Infrastructure Program; Department of Materials Science and Engineering Departmental Laboratory at the University of Pennsylvania; NSF through the University of Pennsylvania NSF; U.S. Department of Energy Office of Science User Facility, at Brookhaven National Laboratory(United States Department of Energy (DOE))</t>
  </si>
  <si>
    <t>D. J. and A. D. A. acknowledge primary support from the University of Pennsylvania Materials Research Science and Engineering Center (MRSEC) DMR-2309043 Seed program and partial support from both the Vagelos Institute for Energy Science and Technology and National Science Foundation (NSF) DMR-2429281. C. R. K acknowledges support from IMOD STC DMR-2019444. B. M. E. acknowledges support from the National Research Council Fellowship program. B. M. E. and N. R. G. gratefully acknowledge support from the Air Force Office of Scientific Research Grant #FA9550-24RYCOR011 and the Asian Office of Aerospace Research and Development (AOARD) within the Air Force Office of Scientific Research grant #24IOA046. C. L. recognizes partial support from Intel Corporation under the SRS program. This work was conducted in its majority at the Singh Center for Nanotechnology at the University of Pennsylvania, which is supported by the NSF National Nanotechnology Coordinated Infrastructure Program grant no. NNCI-2025608. The authors gratefully acknowledge the use of facilities and instrumentation (G2V Pico solar simulator and Cary UV-Vis Spectrophotometer) supported by the Department of Materials Science and Engineering Departmental Laboratory at the University of Pennsylvania. The authors acknowledge the use of an XRD facility supported by the Laboratory for Research on the Structure of Matter and the NSF through the University of Pennsylvania NSF MRSEC DMR-2309043. This research used Electron Microscopy facilities of the Center for Functional Nanomaterials (CFN), which is a U.S. Department of Energy Office of Science User Facility, at Brookhaven National Laboratory under Contract No. DE-SC0012704.</t>
  </si>
  <si>
    <t>2050-7488</t>
  </si>
  <si>
    <t>2050-7496</t>
  </si>
  <si>
    <t>J MATER CHEM A</t>
  </si>
  <si>
    <t>J. Mater. Chem. A</t>
  </si>
  <si>
    <t>NOV 4</t>
  </si>
  <si>
    <t>10.1039/d5ta06459g</t>
  </si>
  <si>
    <t>9IL6L</t>
  </si>
  <si>
    <t>WOS:001599328700001</t>
  </si>
  <si>
    <t>Koh, H; Hassan, MH; Lin, S; Wang, L; Stach, EA; Detsi, E</t>
  </si>
  <si>
    <t>Koh, Hyeongjun; Hassan, Mohamed H.; Lin, Stella; Wang, Lin; Stach, Eric A.; Detsi, Eric</t>
  </si>
  <si>
    <t>Liquid Na-K alloy is not viable anode material for High-Performance Na-Ion batteries</t>
  </si>
  <si>
    <t>CHEMICAL ENGINEERING JOURNAL</t>
  </si>
  <si>
    <t>Na-ion batteries; Liquid sodium-potassium metal anode; Plating/stripping; Dendrite formation self-healing anode; Cryogenic focused ion beam scanning electron microscopy</t>
  </si>
  <si>
    <t>CATHODE</t>
  </si>
  <si>
    <t>Liquid sodium-potassium alloy N-a x K (100-x )at. % (approximate to 14 &lt; x &lt; 70 at room temperature) has been proposed as a dendrite -free liquid metal anode for Na-ion batteries. Nevertheless, controversy surrounds the use of Na x K 100-x as a Na-ion battery anode due to the presence of the two competitive redox-active species, Na/Na (+) and K/K (+) . To resolve this ongoing controversy, we use x-ray diffraction (XRD) and cryogenic -focused ion beam/scanning electron microscopy (cryo-FIB/SEM) to investigate liquid Na 50 K 50 electrodes cycled in symmetric cells using Naion electrolytes. We find that the reaction overpotential abruptly increases after approximate to 40 cycles. Cryo-FIB/SEM reveals the precipitation of K salts, which confirms that K/K (+) species are redox-active in Na-ion electrolytes. Such an effect progressively leads to irreversible leaching of K from the initial liquid Na (50) K (50) composition, resulting in a loss of liquid metal properties. Consequently, our results suggest that Na (x) K 100-x cannot sustainably function as a liquid metal anode in Na-ion batteries.</t>
  </si>
  <si>
    <t>[Koh, Hyeongjun; Hassan, Mohamed H.; Lin, Stella; Wang, Lin; Stach, Eric A.; Detsi, Eric] Univ Penn, Dept Mat Sci &amp; Engn, Philadelphia, PA 19104 USA; [Stach, Eric A.] Univ Penn, Lab Res Struct Matter, Philadelphia, PA 19104 USA</t>
  </si>
  <si>
    <t>Stach, EA; Detsi, E (corresponding author), Univ Penn, Dept Mat Sci &amp; Engn, Philadelphia, PA 19104 USA.;Stach, EA (corresponding author), Univ Penn, Lab Res Struct Matter, Philadelphia, PA 19104 USA.</t>
  </si>
  <si>
    <t>stach@seas.upenn.edu; detsi@seas.upenn.edu</t>
  </si>
  <si>
    <t>Stach, Eric/D-8545-2011; Hassan, Mohamed/P-3834-2017; /P-3834-2017</t>
  </si>
  <si>
    <t>Stach, Eric/0000-0002-3366-2153; Hassan, Mohamed/0000-0001-7960-1893; Lin, Stella/0009-0001-9982-3626; Koh, Hyeongjun/0009-0001-2122-3911;</t>
  </si>
  <si>
    <t>National Science Foundation (NSF) , Division of Materials Research (DMR) , Future Manufacturing Research Grant [2134715]; NSF National Nanotechnology Coordinated Infrastructure Program [NNCI-2025608]; University of Pennsylvania Materials Research Science and Engineering Center (MRSEC) [DMR-1720530, DMR-2309043]</t>
  </si>
  <si>
    <t>National Science Foundation (NSF) , Division of Materials Research (DMR) , Future Manufacturing Research Grant(National Science Foundation (NSF)); NSF National Nanotechnology Coordinated Infrastructure Program; University of Pennsylvania Materials Research Science and Engineering Center (MRSEC)</t>
  </si>
  <si>
    <t>The authors gratefully acknowledge primary financial support from the National Science Foundation (NSF) , Division of Materials Research (DMR) , Future Manufacturing Research Grant #2134715. This work was carried out in part at the Singh Center for Nanotechnology, which is supported by the NSF National Nanotechnology Coordinated Infrastructure Program under grant NNCI-2025608. Additional support for the Nanoscale Characterization Facility at the Singh Center was provided b the University of Pennsylvania Materials Research Science and Engineering Center (MRSEC) (DMR-1720530; DMR-2309043) .</t>
  </si>
  <si>
    <t>ELSEVIER SCIENCE SA</t>
  </si>
  <si>
    <t>LAUSANNE</t>
  </si>
  <si>
    <t>PO BOX 564, 1001 LAUSANNE, SWITZERLAND</t>
  </si>
  <si>
    <t>1385-8947</t>
  </si>
  <si>
    <t>1873-3212</t>
  </si>
  <si>
    <t>CHEM ENG J</t>
  </si>
  <si>
    <t>Chem. Eng. J.</t>
  </si>
  <si>
    <t>JUN 15</t>
  </si>
  <si>
    <t>10.1016/j.cej.2024.151578</t>
  </si>
  <si>
    <t>MAY 2024</t>
  </si>
  <si>
    <t>Engineering, Environmental; Engineering, Chemical</t>
  </si>
  <si>
    <t>TG8Q2</t>
  </si>
  <si>
    <t>WOS:001240208500001</t>
  </si>
  <si>
    <t>Koh, H; Detsi, E; Stach, EA</t>
  </si>
  <si>
    <t>Koh, Hyeongjun; Detsi, Eric; Stach, Eric A.</t>
  </si>
  <si>
    <t>Observation of Order and Disorder in Solid-Electrolyte Interphases of Lithium-Metal Anodes</t>
  </si>
  <si>
    <t>LIQUID; MICROSCOPY; INTERFACES</t>
  </si>
  <si>
    <t>Battery interfaces critically influence lithium-metal battery performance through their role in ion diffusion and dendrite formation. However, structural characterization of these interfaces has remained challenging due to limitations in high-resolution methods and artifacts induced by electron irradiation. Using cryogenic conditions for both specimen preparation and scanning electron nanobeam diffraction, we can determine the structural organization at the interface between the vitrified electrolyte and adjacent layers. We identified two distinct interface types: one showing short-range order adjacent to lithium metal and another displaying a mixed structure of short-range ordering and defective, nanoscale lithium fluoride crystallites at a copper current collector. Notably, short-range order appeared exclusively in electrolytes, demonstrating high reversibility. Our results establish that solid-electrolyte-interphase structure directly influences lithium deposition morphology and battery performance. This methodology opens new possibilities for the high-resolution characterization of interfaces in energy storage materials, advancing our understanding of their critical structural properties.</t>
  </si>
  <si>
    <t>[Koh, Hyeongjun; Detsi, Eric; Stach, Eric A.] Univ Penn, Dept Mat Sci &amp; Engn, Philadelphia, PA 19104 USA; [Koh, Hyeongjun] Princeton Univ, Andlinger Ctr Energy &amp; Environm, New Jersey, NJ 08540 USA; [Stach, Eric A.] Univ Penn, Lab Res Struct Matter, Philadelphia, PA 19104 USA</t>
  </si>
  <si>
    <t>; Stach, Eric/D-8545-2011</t>
  </si>
  <si>
    <t>Koh, Hyeongjun/0009-0001-2122-3911; Stach, Eric/0000-0002-3366-2153</t>
  </si>
  <si>
    <t>National Science Foundation [2134715]; National Science Foundation (NSF), Division of Materials Research (DMR), Future Manufacturing Research Grant [NNCI-2025608]; NSF National Nanotechnology Coordinated Infrastructure Program [DMR-1720530, DMR-2309043]; NSF through the University of Pennsylvania Materials Research Science and Engineering Center (MRSEC)</t>
  </si>
  <si>
    <t>National Science Foundation(National Science Foundation (NSF)); National Science Foundation (NSF), Division of Materials Research (DMR), Future Manufacturing Research Grant(National Science Foundation (NSF)); NSF National Nanotechnology Coordinated Infrastructure Program; NSF through the University of Pennsylvania Materials Research Science and Engineering Center (MRSEC)(National Science Foundation (NSF))</t>
  </si>
  <si>
    <t>The authors gratefully acknowledge primary financial support from the National Science Foundation (NSF), Division of Materials Research (DMR), Future Manufacturing Research Grant #2134715. This work was carried out in part at the Singh Center for Nanotechnology, which is supported by the NSF National Nanotechnology Coordinated Infrastructure Program under grant NNCI-2025608. Additional support for the NSF through the University of Pennsylvania Materials Research Science and Engineering Center (MRSEC) (DMR-1720530; DMR-2309043). The authors show gratitude to Drs. Jamie Ford and Douglas Yates for support of Singh Center's Nanoscale Characterization Facility and Prof. Paul Voyles for his comments. Finally, the authors also acknowledge the open access to Py4DSTEM, which made the analysis possible.</t>
  </si>
  <si>
    <t>10.1021/acsenergylett.5c02256</t>
  </si>
  <si>
    <t>7GV0L</t>
  </si>
  <si>
    <t>WOS:001550183400001</t>
  </si>
  <si>
    <t>Ogbu, IM; Fastow, EJ; Winey, KI; Kozlowski, MC</t>
  </si>
  <si>
    <t>Ogbu, Ikechukwu Martin; Fastow, Eli J.; Winey, Karen I.; Kozlowski, Marisa C.</t>
  </si>
  <si>
    <t>Hydroesterification of Polycyclooctene to Access Linear Ethylene Ethyl Acrylate Copolymers as a Step Toward Polyolefin Functionalization</t>
  </si>
  <si>
    <t>MOLECULAR-WEIGHT; METATHESIS POLYMERIZATION; POLYETHYLENE; DEHYDROGENATION; CATALYSTS; DENSITY; BLENDS; THERMODYNAMICS; MELTS</t>
  </si>
  <si>
    <t>To advance a strategy of polymer-to-polymer upcycling of waste polyolefin by dehydrogenation then functionalization, we report successful hydroesterification of polycyclooctene (PCOE), an analogue for partially unsaturated polyethylene. Here, we convert PCOE to a linear analog for poly(ethylene-co-ethyl acrylate) (EEA) across a range of ethyl acrylate incorporations (0 to 18 mol % of ethylene units). The ester incorporation was well controlled by reaction time, and the remaining C=C bonds were subsequently hydrogenated. The bulky ethyl acrylate groups did not incorporate into orthorhombic PE crystals, decreasing the crystallinity, crystallite size, and melting temperature with increasing functionalization. Additionally, hydroesterification tuned the dynamic mechanical properties, decreasing both the glass transition temperature and the storage modulus in the rubbery regime with greater functionalization. The linear EEA analogs reported here achieve remarkable extensibility (strain &gt; 4000%) and high toughness, comparable to commercial random and branched EEA. Ultimately, we demonstrate successful conversion of an analogue to dehydrogenated PE to a linear EEA with favorable mechanical properties.</t>
  </si>
  <si>
    <t>[Ogbu, Ikechukwu Martin; Kozlowski, Marisa C.] Univ Penn, Dept Chem, Philadelphia, PA 19104 USA; [Fastow, Eli J.; Winey, Karen I.] Univ Penn, Dept Mat Sci &amp; Engn, Philadelphia, PA 19104 USA; [Winey, Karen I.] Univ Penn, Dept Chem &amp; Biomol Engn, Philadelphia, PA 19104 USA</t>
  </si>
  <si>
    <t>University of Pennsylvania; University of Pennsylvania; University of Pennsylvania</t>
  </si>
  <si>
    <t>Kozlowski, MC (corresponding author), Univ Penn, Dept Chem, Philadelphia, PA 19104 USA.;Winey, KI (corresponding author), Univ Penn, Dept Mat Sci &amp; Engn, Philadelphia, PA 19104 USA.;Winey, KI (corresponding author), Univ Penn, Dept Chem &amp; Biomol Engn, Philadelphia, PA 19104 USA.</t>
  </si>
  <si>
    <t>Ikechukwu, Ogbu/0000-0002-9053-7519; Winey, Karen/0000-0001-5856-3410; Kozlowski, Marisa/0000-0002-4225-7125; Fastow, Eli/0000-0003-2674-2056</t>
  </si>
  <si>
    <t>Basic Energy Sciences [DESC0022238]; DOE BES [3R01GM118510-03S1, 3R01GM087605-06S1]; NIH; Vagelos Institute for Energy Science and Technology [DMR-2309043]; NSF</t>
  </si>
  <si>
    <t>Basic Energy Sciences(United States Department of Energy (DOE)); DOE BES(United States Department of Energy (DOE)); NIH(United States Department of Health &amp; Human ServicesNational Institutes of Health (NIH) - USA); Vagelos Institute for Energy Science and Technology; NSF(National Science Foundation (NSF))</t>
  </si>
  <si>
    <t>The authors gratefully acknowledge funding by DOE BES (DESC0022238). The authors also wish to acknowledge Prof. Russel Composto (Univ. Pennsylvania) for the use of his contact angle measurement system and Steve Szewczyk (Univ. Pennsylvania) for his assistance with the DSC, DMA, and tensile testing instruments. The authors thank Roshni J. Chethalen and Prof. E. Bryan Coughlin (Univ. Massachusetts, Amherst) for assistance and helpful discussions. Partial NMR instrumentation support was provided by the NIH (3R01GM118510-03S1, 3R01GM087605-06S1) and Vagelos Institute for Energy Science and Technology. E.J.F. and K.I.W. acknowledge the use of the Dual Source and Environmental X-ray Scattering facility operated by the Laboratory for Research on the Structure of Matter at the University of Pennsylvania supported by NSF through DMR-2309043 grant.</t>
  </si>
  <si>
    <t>NOV 15</t>
  </si>
  <si>
    <t>10.1021/acs.macromol.4c02074</t>
  </si>
  <si>
    <t>N3W1Y</t>
  </si>
  <si>
    <t>WOS:001357458800001</t>
  </si>
  <si>
    <t>Wang, CY; Ferko, BT; Shen, K; Winey, K; Vohs, JM; Gorte, RJ</t>
  </si>
  <si>
    <t>Wang, Ching-Yu; Ferko, Benjamin T.; Shen, Kai; Winey, Karen, I; Vohs, John M.; Gorte, Raymond J.</t>
  </si>
  <si>
    <t>Determination of film thicknesses of metal oxides prepared by atomic layer deposition on SBA-15</t>
  </si>
  <si>
    <t>MICROPOROUS AND MESOPOROUS MATERIALS</t>
  </si>
  <si>
    <t>Atomic layer deposition; Mesoporous silica; Small-angle X-ray scattering; N 2 isotherm; BJH method; Pore size distribution; Thin film; Density</t>
  </si>
  <si>
    <t>CATALYSTS; SILICA; GROWTH; ALD</t>
  </si>
  <si>
    <t>ZrO2 and CeO2 films were grown in SBA-15 by Atomic Layer Deposition (ALD) to loadings of 0.92 g oxide/g SBA15. Scanning Transmission Electron Microscopy (STEM) with Energy Dispersive Spectra (EDS) showed that the oxides grew uniformly inside the mesopores. Film thicknesses were then analyzed as a function of the number of ALD cycles using three methods: 1) mass changes assuming bulk densities for the films; 2) changes in pore size from Barret-Joyner-Halenda (BJH) analysis with N2 adsorption isotherms; and 3) small-angle X-ray scattering (SAXS). Film thicknesses assuming bulk densities were between 6 and 8 times smaller than those obtained from BJH analysis. SAXS analysis gave film thicknesses that were approximately twice that obtained from bulk densities. Possible explanations of the discrepancies between these methods are discussed.</t>
  </si>
  <si>
    <t>[Wang, Ching-Yu; Shen, Kai; Winey, Karen, I; Vohs, John M.; Gorte, Raymond J.] Univ Penn, Dept Chem &amp; Biomol Engn, Philadelphia, PA 19104 USA; [Ferko, Benjamin T.; Winey, Karen, I; Gorte, Raymond J.] Univ Penn, Dept Mat Sci &amp; Engn, Philadelphia, PA 19104 USA</t>
  </si>
  <si>
    <t>Vohs, JM (corresponding author), Univ Penn, Dept Chem &amp; Biomol Engn, Philadelphia, PA 19104 USA.</t>
  </si>
  <si>
    <t>vohs@seas.upenn.edu</t>
  </si>
  <si>
    <t>Gorte, Raymond J/JWA-2883-2024; Vohs, John/C-8246-2019; Winey, Karen/HJH-7326-2023; Wang, Ching-Yu/P-9863-2015</t>
  </si>
  <si>
    <t>Gorte, Raymond J/0000-0003-0879-715X; Vohs, John/0000-0002-8283-5241; Winey, Karen/0000-0001-5856-3410; Ferko, Benjamin/0009-0006-3808-1610; Wang, Ching-Yu/0009-0003-9421-0032</t>
  </si>
  <si>
    <t>DOE BES [DE-SC0022238]; NSF DMR [1904767]; National Science Foundation [NNCI-2025608]; NSF [DMR-2309043]; U.S. Department of Energy (DOE) [DE-SC0022238] Funding Source: U.S. Department of Energy (DOE)</t>
  </si>
  <si>
    <t>DOE BES(United States Department of Energy (DOE)); NSF DMR(National Science Foundation (NSF)); National Science Foundation(National Science Foundation (NSF)); NSF(National Science Foundation (NSF)); U.S. Department of Energy (DOE)(United States Department of Energy (DOE))</t>
  </si>
  <si>
    <t>This work was supported by the DOE BES (DE-SC0022238). Ferko acknowledges support from NSF DMR (1904767). Some of the work was performed at the Singh Center for Nanotechnology at the University of Pennsylvania, a member of the National Nanotechnology Coordinated Infrastructure (NNCI) network, which is supported by the National Science Foundation (Grant NNCI-2025608). The authors acknowledge use of the Dual Source and Environmental X-ray Scattering facility operated by the Laboratory for Research on the Structure of Matter at the University of Pennsylvania supported by NSF through (DMR-2309043).</t>
  </si>
  <si>
    <t>1387-1811</t>
  </si>
  <si>
    <t>1873-3093</t>
  </si>
  <si>
    <t>MICROPOR MESOPOR MAT</t>
  </si>
  <si>
    <t>Microporous Mesoporous Mat.</t>
  </si>
  <si>
    <t>FEB 15</t>
  </si>
  <si>
    <t>10.1016/j.micromeso.2023.112945</t>
  </si>
  <si>
    <t>Chemistry, Applied; Chemistry, Physical; Nanoscience &amp; Nanotechnology; Materials Science, Multidisciplinary</t>
  </si>
  <si>
    <t>EI4J1</t>
  </si>
  <si>
    <t>WOS:001138278300001</t>
  </si>
  <si>
    <t>Antenucci, PMJ; Radzanowski, AN; Fastow, EJ; Votruba-Drzal, J; Redder, M; Winey, KI; Coughlin, EB; Kozlowski, MC</t>
  </si>
  <si>
    <t>Antenucci, Pedro M. Jimenez; Radzanowski, Anne N.; Fastow, Eli J.; Votruba-Drzal, James; Redder, Madyson; Winey, Karen I.; Coughlin, E. Bryan; Kozlowski, Marisa C.</t>
  </si>
  <si>
    <t>Synthesis and Blending of Two Poly(ethylene-co-vinyl alcohol) Polymers with Mixed 1,2-Diol Stereochemistry</t>
  </si>
  <si>
    <t>ACS APPLIED POLYMER MATERIALS</t>
  </si>
  <si>
    <t>1,2-diols; postpolymerization modification; stereochemistry; dihydroxylation; epoxidation; alkene functionalization; regioregular; stereoirregular</t>
  </si>
  <si>
    <t>ETHYLENE-VINYL ALCOHOL; BARRIER PROPERTIES; COPOLYMERS; DIHYDROXYLATION; OLEFINS; MODEL; WATER</t>
  </si>
  <si>
    <t>Parallel pathways for the postpolymerization modification of double bonds in a polycyclooctene (PCOE) backbone generate vicinal 1,2-diol-containing polymers with mixed but opposite stereochemistry, depending on the trans:cis ratio of the C=C in PCOE. Beginning from the same batch of PCOE, epoxidation and subsequent ring-opening with sulfuric acid and water produce a polymer with the majority erythro diols, whereas an osmium-catalyzed dihydroxylation results in diols in the majority threo orientations. These postpolymerization modification approaches enable access to previously unexplored polymers with a mixture of erythro and threo diols, offering tunable diol stereochemistry to tailor material properties. The majority erythro diols lead to hexagonal crystallites with higher melting temperatures and overall crystallinity when compared to the majority threo diols that form monoclinic crystallites. When blended, the two diastereomers phase separate as evidenced by distinct melting endotherms and crystal structures corresponding to the two component polymers, suggesting a route to tune the barrier or mechanical properties. This investigation synthesized polymers with mixed stereochemical diols and elucidated the thermal and morphological properties of regioregular linear poly(ethylene-co-vinyl alcohols) and their blends.</t>
  </si>
  <si>
    <t>[Antenucci, Pedro M. Jimenez; Kozlowski, Marisa C.] Univ Penn, Dept Chem, Roy &amp; Diana Vagelos Labs, Philadelphia, PA 19104 USA; [Radzanowski, Anne N.; Redder, Madyson; Coughlin, E. Bryan] Univ Massachusetts, Dept Polymer Sci &amp; Engn, Amherst, MA 01003 USA; [Fastow, Eli J.; Votruba-Drzal, James; Winey, Karen I.] Univ Penn, Dept Mat Sci &amp; Engn, Philadelphia, PA 19104 USA; [Winey, Karen I.] Univ Penn, Dept Chem &amp; Biomol Engn, Philadelphia, PA 19104 USA</t>
  </si>
  <si>
    <t>University of Pennsylvania; University of Massachusetts System; University of Massachusetts Amherst; University of Pennsylvania; University of Pennsylvania</t>
  </si>
  <si>
    <t>Kozlowski, MC (corresponding author), Univ Penn, Dept Chem, Roy &amp; Diana Vagelos Labs, Philadelphia, PA 19104 USA.;Coughlin, EB (corresponding author), Univ Massachusetts, Dept Polymer Sci &amp; Engn, Amherst, MA 01003 USA.;Winey, KI (corresponding author), Univ Penn, Dept Mat Sci &amp; Engn, Philadelphia, PA 19104 USA.;Winey, KI (corresponding author), Univ Penn, Dept Chem &amp; Biomol Engn, Philadelphia, PA 19104 USA.</t>
  </si>
  <si>
    <t>winey@seas.upenn.edu; coughlin@mail.pse.umass.edu; marisa@sas.upenn.edu</t>
  </si>
  <si>
    <t>Jimenez Antenucci, Peo/0000-0001-8660-761X; Fastow, Eli/0000-0003-2674-2056; Radzanowski, Anne/0000-0001-6453-3103; Winey, Karen/0000-0001-5856-3410; , James Votruba-zal/0009-0007-7048-9445; Coughlin, E Bryan/0000-0001-7065-4366; Kozlowski, Marisa/0000-0002-4225-7125;</t>
  </si>
  <si>
    <t>National Institute of General Medical Sciences [DESC0022238]; DOE BES [3R01GM118510-03S1, 3R01GM087605-06S1, 1S10RR022442]; NIH; Vagelos Institute for Energy Science and Technology [DMR-2309043]; NSF</t>
  </si>
  <si>
    <t>National Institute of General Medical Sciences(United States Department of Health &amp; Human ServicesNational Institutes of Health (NIH) - USANIH National Institute of General Medical Sciences (NIGMS)); DOE BES(United States Department of Energy (DOE)); NIH(United States Department of Health &amp; Human ServicesNational Institutes of Health (NIH) - USA); Vagelos Institute for Energy Science and Technology; NSF(National Science Foundation (NSF))</t>
  </si>
  <si>
    <t>We gratefully acknowledge the funding by the DOE BES(DESC0022238). P.M.J.A. and M.C.K. acknowledge the NIH awards 3R01GM118510-03S1, 3R01GM087605-06S1, and 1S10RR022442, along with the Vagelos Institute for Energy Science and Technology that supported the purchase of the NMR spectrometers used in this study. A.N.R. and E.B.C. acknowledge the director of the UMass NMR facilities, Dr. Weiguo Hu, for his assistance with NMR characterization and Dr. Alan Lesser for the use of thermal characterization facilities (TGA, DSC). E.J.F. and K.I.W. acknowledge the use of Dual Source and Environmental X-ray Scattering facility operated by the Laboratory for Research on the Structure of Matter at the University of Pennsylvania supported by NSF through DMR-2309043 grant.</t>
  </si>
  <si>
    <t>2637-6105</t>
  </si>
  <si>
    <t>ACS APPL POLYM MATER</t>
  </si>
  <si>
    <t>ACS Appl. Polym. Mater.</t>
  </si>
  <si>
    <t>10.1021/acsapm.5c00785</t>
  </si>
  <si>
    <t>Materials Science, Multidisciplinary; Polymer Science</t>
  </si>
  <si>
    <t>Materials Science; Polymer Science</t>
  </si>
  <si>
    <t>4JM8M</t>
  </si>
  <si>
    <t>WOS:001490384700001</t>
  </si>
  <si>
    <t>Ou, JT; Brown, MK; Kaff, JD; Hughes, RW; Huber, DL; Sumerlin, BS; Winey, KI; Taylor, MK</t>
  </si>
  <si>
    <t>Ou, Jou-Tsen; Brown, Margaret K.; Kaff, Jason D.; Hughes, Rhys W.; Huber, Dale L.; Sumerlin, Brent S.; Winey, Karen I.; Taylor, Mercedes K.</t>
  </si>
  <si>
    <t>Structural Effects on Solubility and Crystallinity in Polyamide Ionomers</t>
  </si>
  <si>
    <t>precise polymer; ionomer; polyamide; processability; solubility</t>
  </si>
  <si>
    <t>MISCIBILITY</t>
  </si>
  <si>
    <t>Although polyamides have been an industrial staple for decades, their solubility and processability remain limited due to the strong hydrogen bonding between amide groups. Here, we report a family of polyamides in which aryl rings, alkyl spacers, sulfonate groups, and amide linkages are regularly spaced along the polymer backbone, allowing us to probe the structural elements that affect processability. We accessed these polymers through a synthetic route based on an expanded diamine monomer and characterized them through a range of physical and spectroscopic techniques. Our results show that the combination of sulfonate groups with increased amide content results in highly soluble polymers, which can dissolve in polar solvents such as water, methanol, and N,N-dimethylformamide. Infrared spectroscopy on the solid polymers shows that the aliphatic amides engage in hydrogen bonding with the sulfonate groups, thus inhibiting ion aggregation, crystallization, and microphase separation. These findings expand the avenue to sulfonate-containing polyamide chemistry and provide design rules for the synthesis of more processable ionic polyamides.</t>
  </si>
  <si>
    <t>[Ou, Jou-Tsen; Kaff, Jason D.; Taylor, Mercedes K.] Univ Maryland, Dept Chem &amp; Biochem, College Pk, MD 20742 USA; [Brown, Margaret K.; Winey, Karen I.] Univ Penn, Dept Mat Sci &amp; Engn, Philadelphia, PA 19104 USA; [Hughes, Rhys W.; Sumerlin, Brent S.] Univ Florida, Ctr Macromol Sci &amp; Engn, Dept Chem, George &amp; Josephine Butler Polymer Res Lab, Gainesville, FL 32611 USA; [Huber, Dale L.] Sandia Natl Labs, Ctr Integrated Nanotechnol, Albuquerque, NM 87185 USA; [Winey, Karen I.] Univ Penn, Chem &amp; Biomol Engn, Philadelphia, PA 19104 USA</t>
  </si>
  <si>
    <t>University System of Maryland; University of Maryland College Park; University of Pennsylvania; State University System of Florida; University of Florida; United States Department of Energy (DOE); Sandia National Laboratories; University of Pennsylvania</t>
  </si>
  <si>
    <t>Taylor, MK (corresponding author), Univ Maryland, Dept Chem &amp; Biochem, College Pk, MD 20742 USA.</t>
  </si>
  <si>
    <t>mkt@umd.edu</t>
  </si>
  <si>
    <t>; Sumerlin, Brent/C-8924-2015; Huber, Dale/A-6006-2008; Winey, Karen/HJH-7326-2023</t>
  </si>
  <si>
    <t>, Jason Kaff/0009-0006-6168-1403; Sumerlin, Brent/0000-0001-5749-5444; Huber, Dale/0000-0001-6872-8469; Ou, Jou-Tsen/0000-0002-3703-316X; Winey, Karen/0000-0001-5856-3410; Hughes, Rhys/0000-0003-1751-051X</t>
  </si>
  <si>
    <t>U.S. Department of Energy, Office of Science, Office of Basic Energy Sciences [DE-SC0024088]; Center for Integrated Nanotechnologies, an Office of Science User; US DOE's National Nuclear Security Administration [DE-NA-0003525]; NSF through the University of Pennsylvania Materials Research Science and Engineering Center (MRSEC) [DMR-2309043]; NSF-DMR [1904767]; U.S. Department of Energy (DOE) [DE-SC0024088] Funding Source: U.S. Department of Energy (DOE)</t>
  </si>
  <si>
    <t>U.S. Department of Energy, Office of Science, Office of Basic Energy Sciences(United States Department of Energy (DOE)); Center for Integrated Nanotechnologies, an Office of Science User; US DOE's National Nuclear Security Administration(National Nuclear Security Administration); NSF through the University of Pennsylvania Materials Research Science and Engineering Center (MRSEC)(National Science Foundation (NSF)); NSF-DMR(National Science Foundation (NSF)); U.S. Department of Energy (DOE)(United States Department of Energy (DOE))</t>
  </si>
  <si>
    <t>This material is based upon work supported by the U.S. Department of Energy, Office of Science, Office of Basic Energy Sciences, under award number DE-SC0024088. We thank the Analytical NMR Research &amp; Service Center at the University of Maryland, College Park for providing NMR services. We acknowledge Dr. Yue Li and the Mass Spec Facility in the Department of Chemistry and Biochemistry at the University of Maryland-College Park for the use of JEOl AccuTOF mass spectrometer. We acknowledge the Maryland NanoCenter and its Advanced Imaging &amp; Microscopy (AIM) Lab. We gratefully acknowledge the support of the Center for Integrated Nanotechnologies, an Office of Science User Facility operated by the US DOE Office of Science. Sandia National Laboratories is a multimission laboratory managed and operated by National Technology and Engineering Solutions of Sandia, LLC, a wholly owned subsidiary of Honeywell International, Inc., for the US DOE's National Nuclear Security Administration (contract no. DE-NA-0003525). The views expressed in the article do not necessarily represent the views of the US DOE or the US government. We acknowledge the use of facilities supported by the Laboratory for Research on the Structure of Matter and the NSF through the University of Pennsylvania Materials Research Science and Engineering Center (MRSEC) DMR-2309043. M.K.B. and K.I.W. acknowledge financial support from NSF-DMR 1904767.</t>
  </si>
  <si>
    <t>10.1021/acsapm.4c02012</t>
  </si>
  <si>
    <t>H2N6P</t>
  </si>
  <si>
    <t>WOS:001312778200001</t>
  </si>
  <si>
    <t>Hwang, U; Kim, BQ; Nam, JD; Lee, DY</t>
  </si>
  <si>
    <t>Hwang, Uiseok; Kim, Baekmin Q.; Nam, Jae-Do; Lee, Daeyeon</t>
  </si>
  <si>
    <t>Flexible Antireflection Coatings with Enhanced Durability and Antifogging Properties</t>
  </si>
  <si>
    <t>flexible devices; capillary rise; hollow silicananoparticles; nanocomposites; gradient</t>
  </si>
  <si>
    <t>LOW-REFRACTIVE-INDEX; SPECTROSCOPIC ELLIPSOMETRY; SOLAR-CELLS; FILMS; PERFORMANCE; LAYER</t>
  </si>
  <si>
    <t>Antireflection coatings (ARCs) enhance optical clarity and improve light transmission by reducing glare and reflections. The application of conventional ARCs in flexible devices, however, is impeded by their lack of durability, particularly under bending deformation. We develop ARCs that withstand delamination and fracture, remaining intact even after 1000 bending cycles with a 5 cm bending radius. We fabricate integrated ARCs (iARCs) on a poly(methyl methacrylate) (PMMA) substrate by inducing free polymers to infiltrate the interstices of a disordered assembly of hollow silica nanochains and nanospheres. The polydispersity of PMMA creates a refractive index gradient, yielding a broadband antireflection capability. The nanochain-based iARCs are superior to the nanosphere-based coatings in both antireflection properties and mechanical durability, owing to the lower packing density and mechanical interlocking of the nanochains, respectively. Additionally, these nanochain iARCs display antifogging properties stemming from their superhydrophilicity. While our demonstrations are based on PMMA as a model substrate, this methodology is potentially extendable to other polymers, enhancing the iARC's applicability across various practical applications, including flexible and wearable devices.</t>
  </si>
  <si>
    <t>[Hwang, Uiseok; Kim, Baekmin Q.; Lee, Daeyeon] Univ Penn, Sch Engn &amp; Appl Sci, Dept Chem &amp; Biomol Engn, Philadelphia, PA 19104 USA; [Hwang, Uiseok; Nam, Jae-Do] Sungkyunkwan Univ, Dept Polymer Sci &amp; Engn, Suwon 16419, South Korea</t>
  </si>
  <si>
    <t>University of Pennsylvania; Sungkyunkwan University (SKKU)</t>
  </si>
  <si>
    <t>Lee, DY (corresponding author), Univ Penn, Sch Engn &amp; Appl Sci, Dept Chem &amp; Biomol Engn, Philadelphia, PA 19104 USA.;Nam, JD (corresponding author), Sungkyunkwan Univ, Dept Polymer Sci &amp; Engn, Suwon 16419, South Korea.</t>
  </si>
  <si>
    <t>jdnam@skku.edu; daeyeon@seas.upenn.edu</t>
  </si>
  <si>
    <t>Kim, Baekmin/MSX-6061-2025; Nam, Jae-Do/F-2201-2013</t>
  </si>
  <si>
    <t>Kim, Baekmin/0000-0002-6231-9741; Nam, Jae-Do/0000-0001-7682-7926</t>
  </si>
  <si>
    <t>Directorate for Mathematical and Physical Sciences [NSF DMR 1720530, DMR 2309043]; Penn MRSEC through NSF [CBET-1933704]; NSF [P0017305]; Korea Institute for Advancement of Technology (KIAT) - Korean Government (MOTIE); Human Resource Development Program for Industrial Innovation</t>
  </si>
  <si>
    <t>Directorate for Mathematical and Physical Sciences; Penn MRSEC through NSF; NSF(National Science Foundation (NSF)); Korea Institute for Advancement of Technology (KIAT) - Korean Government (MOTIE)(Ministry of Trade, Industry &amp; Energy (MOTIE), Republic of Korea); Human Resource Development Program for Industrial Innovation</t>
  </si>
  <si>
    <t>This work was supported by Penn MRSEC through NSF (NSF DMR 1720530 and DMR 2309043) and NSF CBET-1933704. The authors thank Dr. Jae-Hyun Kim and Dr. Joseph Rosenfeld for helpful discussions and technical support with transmission electron microscopy. U. Hwang acknowledges the support from the Korea Institute for Advancement of Technology (KIAT) grant funded by the Korean Government (MOTIE) (P0017305, Human Resource Development Program for Industrial Innovation (Global)).</t>
  </si>
  <si>
    <t>10.1021/acsami.3c17986</t>
  </si>
  <si>
    <t>KD0H0</t>
  </si>
  <si>
    <t>WOS:001173739400001</t>
  </si>
  <si>
    <t>Johnson, CW; Zhang, LZ; Culley, KE; Oh, SM; Gin, DL; Geise, GM; Patel, AJ; Winey, KI; Osuji, CO</t>
  </si>
  <si>
    <t>Johnson, Christopher W.; Zhang, Lizhu; Culley, Keira E.; Oh, Sol Mi; Gin, Douglas L.; Geise, Geoffrey M.; Patel, Amish J.; Winey, Karen I.; Osuji, Chinedum O.</t>
  </si>
  <si>
    <t>The Effects of Morphology and Hydration on Anion Transport in Self-Assembled Nanoporous Membranes</t>
  </si>
  <si>
    <t>ACS NANO</t>
  </si>
  <si>
    <t>lyotropic liquid crystal; membrane; conductivity; gyroid; direct hexagonal; nanostructure</t>
  </si>
  <si>
    <t>ION-EXCHANGE MEMBRANES; PROTON CONDUCTIVITY; WATER DIFFUSION; FORCE-FIELD; DYNAMICS; COPOLYMER; ELECTROLYTE; HYDROXIDE; CATION</t>
  </si>
  <si>
    <t>Ordered nanoporous polymer membranes offer opportunities for systematically probing the mechanisms of ion transport under confinement and for realizing useful materials for electrochemical devices. Here, we examine the impact of morphology and ion hydration on the transport of hydroxide and bromide anions in nanostructured polymer membranes with 1 nm scale pores. We use aqueous lyotropic self-assembly of an amphiphilic monomer, with a polymerizable surfactant to create direct hexagonal (HI) and gyroid mesophases. UV-induced cross-linking leads to the formation of nanoporous polymers with water continuous channels. The membranes are mechanically robust and chemically durable, resisting degradation during extended exposure to 1 M NaOH solutions. We use a combination of electrochemical impedance spectroscopy, pulsed-field gradient NMR spectroscopy, and molecular simulations to elucidate anion and water transport. The as-prepared hexagonal systems display higher conductivity and lower activation energies for both anions relative to the gyroid system. When compared at equivalent hydration, however, gyroid and hexagonal membranes show similar activation energies, with nearly identical conductivities at ambient temperatures. Both ionic conductivity and water diffusivity increase with increasing hydration. The water uptake as a function of relative humidity for the hexagonal and gyroid mesophases ultimately dictates the water diffusion and magnitude of the ionic conductivity, with the hexagonal system showing overall higher capacity for hydration and thus faster ion transport. The durability of these materials under aggressive alkaline conditions and their relatively high hydroxide ion conductivity suggest that these nanostructured polymers could be of interest as membranes for alkaline fuel cells.</t>
  </si>
  <si>
    <t>[Johnson, Christopher W.; Zhang, Lizhu; Patel, Amish J.; Winey, Karen I.; Osuji, Chinedum O.] Univ Penn, Dept Chem &amp; Biomol Engn, Philadelphia, PA 19104 USA; [Culley, Keira E.; Gin, Douglas L.] Univ Colorado, Dept Chem, Boulder, CO 80309 USA; [Oh, Sol Mi; Winey, Karen I.] Univ Penn, Dept Mat Sci &amp; Engn, Philadelphia, PA 19104 USA; [Geise, Geoffrey M.] Univ Virginia, Dept Chem Engn, Charlottesville, VA 22908 USA</t>
  </si>
  <si>
    <t>University of Pennsylvania; University of Colorado System; University of Colorado Boulder; University of Pennsylvania; University of Virginia</t>
  </si>
  <si>
    <t>Winey, Karen/HJH-7326-2023; Gin, Douglas/AAW-5360-2021; Culley, Keira/HLX-2867-2023; Johnson, Christopher/OLS-0029-2025; Geise, Geoffrey/H-5159-2016</t>
  </si>
  <si>
    <t>Winey, Karen/0000-0001-5856-3410; PATEL, AMISH/0000-0001-6482-543X; Culley, Keira/0009-0008-3605-0030; Johnson, Christopher/0009-0009-2395-007X; Geise, Geoffrey/0000-0002-5439-272X</t>
  </si>
  <si>
    <t>Division of Materials Research [2010890, DMR 2223705, NSF DMR 2309043]; NSF through CBET award; Vagelos Institute of Energy Science and Technology at the University of Pennsylvania [DE-SC0023386]; DOE BES; U.S. Department of Energy (DOE) [DE-SC0023386] Funding Source: U.S. Department of Energy (DOE)</t>
  </si>
  <si>
    <t>Division of Materials Research(National Science Foundation (NSF)NSF - Directorate for Mathematical &amp; Physical Sciences (MPS)); NSF through CBET award; Vagelos Institute of Energy Science and Technology at the University of Pennsylvania; DOE BES(United States Department of Energy (DOE)); U.S. Department of Energy (DOE)(United States Department of Energy (DOE))</t>
  </si>
  <si>
    <t>This work was supported by NSF through CBET award 2010890. C.O. acknowledges additional support through DMR 2223705. Work was carried out in part at the Dual Source and Environmental X-ray scattering facility operated by the Laboratory for Research on the Structure of Matter at the University of Pennsylvania (NSF DMR 2309043). C.J. acknowledges additional funding made available through the Vagelos Institute of Energy Science and Technology at the University of Pennsylvania as part of a graduate fellowship. K.I.W. acknowledges additional support from DOE BES DE-SC0023386.</t>
  </si>
  <si>
    <t>1936-0851</t>
  </si>
  <si>
    <t>1936-086X</t>
  </si>
  <si>
    <t>ACS Nano</t>
  </si>
  <si>
    <t>JAN 9</t>
  </si>
  <si>
    <t>10.1021/acsnano.4c14234</t>
  </si>
  <si>
    <t>Chemistry, Multidisciplinary; Chemistry, Physical; Nanoscience &amp; Nanotechnology; Materials Science, Multidisciplinary</t>
  </si>
  <si>
    <t>S9O0H</t>
  </si>
  <si>
    <t>WOS:001393327700001</t>
  </si>
  <si>
    <t>Li, W; Peng, Y; Still, T; Yodh, AG; Han, YL</t>
  </si>
  <si>
    <t>Li, Wei; Peng, Yi; Still, Tim; Yodh, A. G.; Han, Yilong</t>
  </si>
  <si>
    <t>Nucleation kinetics and virtual melting in shear-induced structural transitions</t>
  </si>
  <si>
    <t>REPORTS ON PROGRESS IN PHYSICS</t>
  </si>
  <si>
    <t>crystal-crystal transition; shear-induced transition; nucleation kinetics; virtual melting; colloid</t>
  </si>
  <si>
    <t>SOLID-SOLID TRANSITIONS; PHASE-TRANSFORMATIONS; COLLOIDAL CRYSTALS; CRYSTALLIZATION; AMORPHIZATION; SUSPENSIONS; DYNAMICS; BEHAVIOR; SILICON; GROWTH</t>
  </si>
  <si>
    <t>Large shear deformations can induce structural changes within crystals, yet the microscopic kinetics underlying these transformations are difficult for experimental observation and theoretical understanding. Here, we drive shear-induced structural transitions from square (square) lattices to triangular (triangle) lattices in thin-film colloidal crystals and directly observe the accompanying kinetics with single-particle resolution inside the bulk crystal. When the oscillatory shear strain amplitude 0.1 &lt;=gamma(m)&lt;0.4, triangle-lattice nuclei are surrounded by a liquid layer throughout their growth due to localized shear strain at the interface. Such virtual melting at crystalline interface has been predicted in theory and simulation, but have not been observed in experiment. The mean liquid layer thickness is proportional to the shear which can be explained by the Lindemann melting criterion. This provides an alternative explanation on virtual melting.</t>
  </si>
  <si>
    <t>[Li, Wei; Han, Yilong] Hong Kong Univ Sci &amp; Technol, Dept Phys, Clear Water Bay, Hong Kong, Peoples R China; [Peng, Yi] Chinese Acad Sci, Inst Phys, Beijing Natl Lab Condensed Matter Phys, Beijing 100190, Peoples R China; [Peng, Yi] Univ Chinese Acad Sci, Sch Phys Sci, Beijing 100049, Peoples R China; [Still, Tim; Yodh, A. G.] Univ Penn, Dept Phys &amp; Astron, Philadelphia, PA 19104 USA</t>
  </si>
  <si>
    <t>Hong Kong University of Science &amp; Technology; Chinese Academy of Sciences; Institute of Physics, CAS; Chinese Academy of Sciences; University of Chinese Academy of Sciences, CAS; University of Pennsylvania</t>
  </si>
  <si>
    <t>Han, YL (corresponding author), Hong Kong Univ Sci &amp; Technol, Dept Phys, Clear Water Bay, Hong Kong, Peoples R China.</t>
  </si>
  <si>
    <t>yilong@ust.hk</t>
  </si>
  <si>
    <t>; Yi, Peng/PJC-1814-2026; LI, Wei/PSL-6990-2026</t>
  </si>
  <si>
    <t>Li, Wei/0000-0003-0425-1723;</t>
  </si>
  <si>
    <t>Rui Zhang [16302720, 16305822]; RGC GRF [DMR20-03659, NSFC 12474206]; NSF [DMR-2309043]; PENN MRSEC</t>
  </si>
  <si>
    <t>Rui Zhang; RGC GRF(Hong Kong Research Grants Council); NSF(National Science Foundation (NSF)); PENN MRSEC(National Science Foundation (NSF))</t>
  </si>
  <si>
    <t>We thank Qingping Sun, Xian Chen, Yang Xiang, Rui Zhang and Qi Zhang for helpful discussions. This work was supported by RGC GRF Grants 16302720 and 16305822; NSF Grant DMR20-03659, NSFC 12474206, and PENN MRSEC Grant DMR-2309043.</t>
  </si>
  <si>
    <t>IOP Publishing Ltd</t>
  </si>
  <si>
    <t>BRISTOL</t>
  </si>
  <si>
    <t>TEMPLE CIRCUS, TEMPLE WAY, BRISTOL BS1 6BE, ENGLAND</t>
  </si>
  <si>
    <t>0034-4885</t>
  </si>
  <si>
    <t>1361-6633</t>
  </si>
  <si>
    <t>REP PROG PHYS</t>
  </si>
  <si>
    <t>Rep. Prog. Phys.</t>
  </si>
  <si>
    <t>JAN 1</t>
  </si>
  <si>
    <t>10.1088/1361-6633/ad99fd</t>
  </si>
  <si>
    <t>Physics, Multidisciplinary</t>
  </si>
  <si>
    <t>P1G5W</t>
  </si>
  <si>
    <t>WOS:001375483800001</t>
  </si>
  <si>
    <t>Martinez, AP; Decker, LK; Wang, KY; Kim, JB; Murray, CB; Yang, S</t>
  </si>
  <si>
    <t>Martinez, Antonio Proctor; Decker, Lucy K.; Wang, Kunyu; Kim, Jong Bin; Murray, Christopher B.; Yang, Shu</t>
  </si>
  <si>
    <t>High-Speed and Scalable Wet Spinning of Graphene/Liquid Crystalline Elastomer Composite Filaments</t>
  </si>
  <si>
    <t>filament actuators; graphene; liquid crystal elastomers; scalable; wet spinning</t>
  </si>
  <si>
    <t>DIMETHYL-SULFOXIDE</t>
  </si>
  <si>
    <t>Liquid crystalline elastomers (LCEs) are promising candidates for the development of soft, environmentally-responsive actuators and have recently been explored for application in smart textiles and soft robotics. To realize the potential of LCEs within these systems, the fast, scalable, and continuous production of LCE filaments at controlled diameters is critical. Here, a wet-spinning method is presented for the scalable manufacturing of graphene/LCE composite filaments. Through a double diffusion mechanism, the graphene/LCE precursors rapidly crosslink into tangible filaments without the use of UV light, instead taking advantage of solvent exchange and high catalyst influx. The continuous production of polydomain graphene/LCE filaments can achieve speeds up to 4500 m h-1. Through pi-pi interactions between graphene and the LCE matrix, the composite graphene/LCE filaments across a broad range of diameters (137 to 1128 mu m) can be obtained with high integrity, achieving actuation stresses and strains up to 3.66 MPa and 44%, respectively, in 3 s. The filaments are showcased as artificial muscles, where both thin and thick filament sizes are of interest. The presented scalable wet-spinning method will open new opportunities to design smart textiles and soft robotics from fibers of controlled sizes.</t>
  </si>
  <si>
    <t>[Martinez, Antonio Proctor; Decker, Lucy K.; Wang, Kunyu; Kim, Jong Bin; Murray, Christopher B.; Yang, Shu] Univ Penn, Dept Mat Sci &amp; Engn, 3231 Walnut St, Philadelphia, PA 19104 USA; [Wang, Kunyu; Murray, Christopher B.] Univ Penn, Dept Chem, 231 S 34th St, Philadelphia, PA 19104 USA</t>
  </si>
  <si>
    <t>; Yang, Shu/D-9758-2011; Wang, Kunyu/AGM-0841-2022</t>
  </si>
  <si>
    <t>Decker, Lucy/0000-0002-5210-6486; Kim, Jong Bin/0000-0002-6343-1532; Wang, Kunyu/0000-0001-8982-0547; Martinez, Antonio/0000-0002-4209-0003</t>
  </si>
  <si>
    <t>National Science Foundation/ Materials Research Science and Engineering Center (MRSEC) [CMMI 2037097]; National Science Foundation (NSF) Future Eco Manufacturing Research Grant [NNCI-2025608]; NSF National Nanotechnology Coordinated Infrastructure Program [DMR-2309043]; NSF through the University of Pennsylvania Materials Research Science and Engineering Center (MRSEC) [DGE-2236662]; NSF Graduate Research Fellowship Program (GRFP); National GEM Consortium through the GEM Fellowship; Vagelos Institute for Energy Science and Technology (VIEST) postdoctoral fellowship</t>
  </si>
  <si>
    <t>National Science Foundation/ Materials Research Science and Engineering Center (MRSEC)(National Science Foundation (NSF)); National Science Foundation (NSF) Future Eco Manufacturing Research Grant(National Science Foundation (NSF)); NSF National Nanotechnology Coordinated Infrastructure Program; NSF through the University of Pennsylvania Materials Research Science and Engineering Center (MRSEC)(National Science Foundation (NSF)); NSF Graduate Research Fellowship Program (GRFP)(National Science Foundation (NSF)NSF - Office of the Director (OD)); National GEM Consortium through the GEM Fellowship; Vagelos Institute for Energy Science and Technology (VIEST) postdoctoral fellowship</t>
  </si>
  <si>
    <t>This research was supported in part by the National Science Foundation (NSF) Future Eco Manufacturing Research Grant (FMRG, # CMMI 2037097). This work was carried out in part (use of electron and confocal-Raman microscopes) at the Singh Center for Nanotechnology, which was supported by the NSF National Nanotechnology Coordinated Infrastructure Program under grant (# NNCI-2025608) as well as in facilities (Rheology Center, Dual Source and Environmental X-ray Scattering, Electron Microscopy) supported by the Laboratory for Research on the Structure of Matter and the NSF through the University of Pennsylvania Materials Research Science and Engineering Center (MRSEC) (DMR-2309043). A.P.M. gratefully acknowledges the support by the NSF Graduate Research Fellowship Program (GRFP) (DGE-2236662) and the National GEM Consortium through the GEM Fellowship. K.W. acknowledges the support from the Vagelos Institute for Energy Science and Technology (VIEST) postdoctoral fellowship. A.P.M. thanks Max S. Win for critical assistance with data collection and analysis using X-ray scattering instrumentation. A.P.M. also thanks Dr. Yinding Chi, Dr. Yaoye Hong, Ziyun Zhang, and Alicia Ng for helpful discussions on fabrication and analysis.</t>
  </si>
  <si>
    <t>JUN</t>
  </si>
  <si>
    <t>10.1002/adfm.202422176</t>
  </si>
  <si>
    <t>3ZC4M</t>
  </si>
  <si>
    <t>WOS:001380226800001</t>
  </si>
  <si>
    <t>Brown, LE; Bakker, D; Zhou, P; Madl, CM</t>
  </si>
  <si>
    <t>Brown, Lauren E.; Bakker, Daphne; Zhou, Ping; Madl, Christopher M.</t>
  </si>
  <si>
    <t>Stress relaxation timescale and hydrogel network connectivity regulate neural progenitor cell stemness and differentiation</t>
  </si>
  <si>
    <t>JOURNAL OF MATERIALS CHEMISTRY B</t>
  </si>
  <si>
    <t>MICROENVIRONMENTS; MAINTENANCE</t>
  </si>
  <si>
    <t>Neural progenitor cells (NPCs) are promising candidates for cell replacement therapies, yet maintaining stemness while enabling expansion in chemically defined three-dimensional (3D) hydrogels remains a challenge. By tuning crosslink exchange kinetics, crosslinker functionality and stoichiometry, polymer phase separation behavior, and adhesive ligand presentation, a family of hydrogels was prepared to study the effects of stress relaxation timescale and network connectivity on NPC phenotype. Hydrogels with rapid relaxation and low connectivity promote expansion of NPCs as distributed single-cell networks that maintain stemness marker expression and differentiation capacity. NPCs embedded in slowly relaxing hydrogels maintained stemness marker expression through cell clustering but exhibited impaired proliferation and differentiation. Similarly, in the absence of integrin-binding cell adhesive ligands, NPCs also maintained stem cell marker expression but remained as clusters rather than distributed single-cell networks. Cadherin cell-cell contacts enable downstream beta-catenin signaling and stemness maintenance, which are enhanced in rapidly relaxing, low connectivity networks. These findings identify a combination of network connectivity, stress relaxation timescale, and integrin-binding adhesive ligands as crucial design parameters for maintaining NPC stemness and differentiation capacity in 3D hydrogel networks.</t>
  </si>
  <si>
    <t>[Brown, Lauren E.] Univ Penn, Dept Bioengn, Philadelphia, PA 19104 USA; [Bakker, Daphne; Zhou, Ping; Madl, Christopher M.] Univ Penn, Dept Mat Sci &amp; Engn, Philadelphia, PA 19104 USA; [Madl, Christopher M.] Univ Penn, Ctr Precis Engn Hlth CPE4H, Philadelphia, PA 19104 USA</t>
  </si>
  <si>
    <t>Madl, CM (corresponding author), Univ Penn, Dept Mat Sci &amp; Engn, Philadelphia, PA 19104 USA.;Madl, CM (corresponding author), Univ Penn, Ctr Precis Engn Hlth CPE4H, Philadelphia, PA 19104 USA.</t>
  </si>
  <si>
    <t>cmadl@seas.upenn.edu</t>
  </si>
  <si>
    <t>Madl, Christopher/ISV-5693-2023</t>
  </si>
  <si>
    <t>Brown, Lauren/0009-0000-0332-5773</t>
  </si>
  <si>
    <t>National Institute of General Medical Sciences [R35 GM154913]; National Science Foundation [CMMI-1548571, DMR-2309043, NNCI-2025608]</t>
  </si>
  <si>
    <t>National Institute of General Medical Sciences(United States Department of Health &amp; Human ServicesNational Institutes of Health (NIH) - USANIH National Institute of General Medical Sciences (NIGMS)); National Science Foundation(National Science Foundation (NSF))</t>
  </si>
  <si>
    <t>The authors would like to thank Yuran Wang (University of Pennsylvania) for assistance with NMR characterization and Haiying Hu (University of Pennsylvania) for providing the benzaldehyde-NHS ester. The authors gratefully acknowledge the use of facilities and instrumentation supported by U.S. National Science Foundation (NSF) through the University of Pennsylvania Materials Research Science and Engineering Center (MRSEC) (DMR-2309043). This work was carried out in part at the Singh Center for Nanotechnology, which is supported by the NSF National Nanotechnology Coordinated Infrastructure Program under grant NNCI-2025608. L. E. B. was supported by an NSF Graduate Research Program Fellowship (GRFP). Funding for this work was provided by the U.S. National Institutes of Health (NIH, R35 GM154913 to C. M. M.) and a seed grant from the Center for Engineering Mechanobiology (CEMB), an NSF Science and Technology Center (CMMI 1548571). Figure schematics were prepared using Biorender.</t>
  </si>
  <si>
    <t>2050-750X</t>
  </si>
  <si>
    <t>2050-7518</t>
  </si>
  <si>
    <t>J MATER CHEM B</t>
  </si>
  <si>
    <t>J. Mat. Chem. B</t>
  </si>
  <si>
    <t>APR 22</t>
  </si>
  <si>
    <t>10.1039/d5tb02537k</t>
  </si>
  <si>
    <t>Materials Science, Biomaterials</t>
  </si>
  <si>
    <t>GV7GA</t>
  </si>
  <si>
    <t>WOS:001734536000001</t>
  </si>
  <si>
    <t>Liu, JG; Prahl, LS; Huang, AZ; Hughes, AJ</t>
  </si>
  <si>
    <t>Liu, Jiageng; Prahl, Louis S.; Huang, Aria Zheyuan; Hughes, Alex J.</t>
  </si>
  <si>
    <t>Measurement of adhesion and traction of cells at high yield reveals an energetic ratchet operating during nephron condensation</t>
  </si>
  <si>
    <t>bioengineering; morphogenesis; sorting; cell sorting; kidney development</t>
  </si>
  <si>
    <t>SELF-ORGANIZATION; BRANCHING MORPHOGENESIS; KIDNEY DEVELOPMENT; METANEPHRIC MESENCHYME; PROGENITOR CELLS; NERVOUS-SYSTEM; MICE LACKING; CADHERIN; FORCES; DIFFERENTIATION</t>
  </si>
  <si>
    <t>Developmental biology- inspired strategies for tissue- building have extraordinary promise for regenerative medicine, spurring interest in the relationship between cell biophysical properties and morphological transitions. However, mapping gene or protein expression data to cell biophysical properties to physical morphogenesis remains challenging with current techniques. Here, we present multiplexed adhesion and traction of cells at high yield (MATCHY). MATCHY advances the multiplexing and throughput capabilities of existing traction force and cell-cell adhesion assays using microfabrication and a semiautomated computation scheme with machine learning-driven cell segmentation. Both biophysical assays are coupled with serial downstream immunofluorescence to extract cell type/signaling state information. MATCHY is especially suited to complex primary tissue- , organoid-, or biopsy- derived cell mixtures since it does not rely on a priori knowledge of cell surface markers, cell sorting, or use of lineage- specific reporter animals. We first validate MATCHY on canine kidney epithelial cells engineered for rearranged during transfection (RET) tyrosine kinase expression and quantify a relationship between downstream signaling and cell traction. We then use MATCHY to create a biophysical atlas of mouse embryonic kidney primary cells and identify distinct biophysical states along the nephron differentiation trajectory. Our data complement expression- level knowledge of adhesion molecule changes that accompany nephron differentiation with quantitative biophysical information. These data reveal an energetic ratchet that accounts for spatial trends in nephron progenitor cell condensation as they differentiate into early nephron structures, which we validate through agent- based computational simulation. MATCHY offers semiautomated cell biophysical characterization at &gt;10,000- cell throughput, an advance benefiting fundamental studies and new synthetic tissue strategies for regenerative medicine.</t>
  </si>
  <si>
    <t>[Liu, Jiageng; Prahl, Louis S.; Huang, Aria Zheyuan; Hughes, Alex J.] Univ Penn, Dept Bioengn, Philadelphia, PA 19104 USA; [Liu, Jiageng; Huang, Aria Zheyuan; Hughes, Alex J.] Univ Penn, Bioengn Grad Grp, Philadelphia, PA 19104 USA; [Prahl, Louis S.; Hughes, Alex J.] Univ Penn, Ctr Soft &amp; Living Matter, Philadelphia, PA 19104 USA; [Hughes, Alex J.] Univ Penn, Dept Cell &amp; Dev Biol, Philadelphia, PA 19104 USA; [Hughes, Alex J.] Univ Penn, Cell &amp; Mol Biol Grad Grp, Philadelphia, PA 19104 USA; [Hughes, Alex J.] Univ Penn, Ctr Precis Engn Hlth, Philadelphia, PA 19104 USA; [Hughes, Alex J.] Univ Penn, Mat Res Sci &amp; Engn Ctr, Philadelphia, PA 19104 USA; [Hughes, Alex J.] Univ Penn, Inst Regenerat Med, Philadelphia, PA 19104 USA</t>
  </si>
  <si>
    <t>University of Pennsylvania; University of Pennsylvania; University of Pennsylvania; University of Pennsylvania; University of Pennsylvania; University of Pennsylvania; University of Pennsylvania; University of Pennsylvania</t>
  </si>
  <si>
    <t>Hughes, AJ (corresponding author), Univ Penn, Dept Bioengn, Philadelphia, PA 19104 USA.;Hughes, AJ (corresponding author), Univ Penn, Bioengn Grad Grp, Philadelphia, PA 19104 USA.;Hughes, AJ (corresponding author), Univ Penn, Ctr Soft &amp; Living Matter, Philadelphia, PA 19104 USA.;Hughes, AJ (corresponding author), Univ Penn, Dept Cell &amp; Dev Biol, Philadelphia, PA 19104 USA.;Hughes, AJ (corresponding author), Univ Penn, Cell &amp; Mol Biol Grad Grp, Philadelphia, PA 19104 USA.;Hughes, AJ (corresponding author), Univ Penn, Ctr Precis Engn Hlth, Philadelphia, PA 19104 USA.;Hughes, AJ (corresponding author), Univ Penn, Mat Res Sci &amp; Engn Ctr, Philadelphia, PA 19104 USA.;Hughes, AJ (corresponding author), Univ Penn, Inst Regenerat Med, Philadelphia, PA 19104 USA.</t>
  </si>
  <si>
    <t>Hughes, Alex/0000-0001-6801-3455; Liu, Jiageng/0000-0002-7936-3669; Huang, Aria/0009-0009-3042-3171</t>
  </si>
  <si>
    <t>NSF National Nanotechnology Coordinated Infrastructure Program [NNCI-2025608]; NSF through the University of Pennsylvania Materials Research Science and Engineering Center (MRSEC) [DMR-2309043]; NSF GRFP award; NIH [F32 DK126385]; NIH NIGMS [MIRAR35GM133380]; NIH NIDDK [R01DK132296]; NSF CAREER [2047271]</t>
  </si>
  <si>
    <t>NSF National Nanotechnology Coordinated Infrastructure Program; NSF through the University of Pennsylvania Materials Research Science and Engineering Center (MRSEC)(National Science Foundation (NSF)); NSF GRFP award; NIH(United States Department of Health &amp; Human ServicesNational Institutes of Health (NIH) - USA); NIH NIGMS(United States Department of Health &amp; Human ServicesNational Institutes of Health (NIH) - USANIH National Institute of General Medical Sciences (NIGMS)); NIH NIDDK(United States Department of Health &amp; Human ServicesNational Institutes of Health (NIH) - USANIH National Institute of Diabetes &amp; Digestive &amp; Kidney Diseases (NIDDK)); NSF CAREER(National Science Foundation (NSF)NSF - Office of the Director (OD))</t>
  </si>
  <si>
    <t>We are grateful to Gregory Dressler (University of Michigan) for the generous gift of MDCK-RET and MDCK-RET KM cells. We thankJohn Viola and Samuel Grindel for sharing their expertise on experiment protocols and spheroid segmentation. We thank Catherine Porter for contributing art to the MATCHY workflow schematic. This work was carried out in part at the Singh Center for Nanotechnology at the University of Pennsylvania supported by the NSF National Nanotechnology Coordinated Infrastructure Program (NNCI-2025608) . This research was partially supported by the NSF through the University of Pennsylvania Materials Research Science and Engineering Center (MRSEC, DMR-2309043) . This work was supported by an NSF GRFP award (J.L.) , NIH F32 DK126385 (L.S.P.) ,NIH NIGMS MIRAR35GM133380 (A.J.H.) ,NIH NIDDK R01DK132296 (A.J.H.) , and NSF CAREER award 2047271 (A.J.H.) .</t>
  </si>
  <si>
    <t>e2404586121</t>
  </si>
  <si>
    <t>10.1073/pnas.2404586121</t>
  </si>
  <si>
    <t>L4B2M</t>
  </si>
  <si>
    <t>WOS:001350182500004</t>
  </si>
  <si>
    <t>Kim, DH; Chen, CY; Fakhraai, Z</t>
  </si>
  <si>
    <t>Kim, Dong Hyup; Chen, Cindy Y.; Fakhraai, Zahra</t>
  </si>
  <si>
    <t>Probing Glass Transition Temperature of Polymer Thin Films under Static Shear Stress</t>
  </si>
  <si>
    <t>RELAXATION BEHAVIOR; POLYSTYRENE; DYNAMICS; MOBILITY; LAYER; VISCOELASTICITY; ORIENTATION; CONFINEMENT; DEPRESSION; SURFACES</t>
  </si>
  <si>
    <t>Accurate characterization of the glass transition temperature (T g) in polymer thin films is pivotal for their application in nanotechnology. Here, we introduced a novel and simple method to measure T g based on the observation of creep flow in response to static shear stress. The technique employs a polydimethylsiloxane (PDMS) pad placed on top of the polymer thin film. The sample is held isothermally at 2 K intervals upon heating. At each temperature, steady shear is applied with constant normal and lateral forces for a constant duration of time. T g is identified by the onset temperature where PDMS displacement is observed at the polymer/PDMS interface in optical microscopy. The measured T gs strongly correlate with those measured by spectroscopic ellipsometry for various polymers with various molecular weights and film thicknesses. Furthermore, we demonstrate that this approach can be employed in conditions where T g measurements using other methods may be challenging. For example, in polymer-infiltrated nanoparticle films, the T g of the highly confined polymer in the composite can be accurately measured. This facile and inexpensive technique can be readily adopted in various industries, where alternative techniques, such as ellipsometry, can be costly and require extensive expertise.</t>
  </si>
  <si>
    <t>[Kim, Dong Hyup; Chen, Cindy Y.; Fakhraai, Zahra] Univ Penn, Dept Chem, Philadelphia, PA 19147 USA; [Kim, Dong Hyup] Seoul Natl Univ, Sch Chem &amp; Biol Engn, Seoul 08826, South Korea</t>
  </si>
  <si>
    <t>University of Pennsylvania; Seoul National University (SNU)</t>
  </si>
  <si>
    <t>Fakhraai, Z (corresponding author), Univ Penn, Dept Chem, Philadelphia, PA 19147 USA.</t>
  </si>
  <si>
    <t>; Kim, Donghyup/AAO-7254-2020</t>
  </si>
  <si>
    <t>Chen, Cindy/0000-0001-7401-3638; Fakhraai, Zahra/0000-0002-0597-9882; Kim, Donghyup/0000-0003-3866-1878</t>
  </si>
  <si>
    <t>National Science Foundation Graduate Research Fellowship Program [DMR-2309043]; University of Pennsylvania Materials Research Science and Engineering Center (MRSEC) [DMR-2309000]; Wisconsin MRSEC grant [NRF-2021R1C1C2012905]; National Research Foundation of Korea (NRF) - Korean government (MSIT) [DGE-1845298]; NSF Graduate Research Fellowship Program (NSF GRFP)</t>
  </si>
  <si>
    <t>National Science Foundation Graduate Research Fellowship Program(National Science Foundation (NSF)); University of Pennsylvania Materials Research Science and Engineering Center (MRSEC); Wisconsin MRSEC grant; National Research Foundation of Korea (NRF) - Korean government (MSIT)(National Research Foundation of KoreaMinistry of Science &amp; ICT (MSIT), Republic of Korea); NSF Graduate Research Fellowship Program (NSF GRFP)(National Science Foundation (NSF)NSF - Office of the Director (OD))</t>
  </si>
  <si>
    <t>This research was supported by the University of Pennsylvania Materials Research Science and Engineering Center (MRSEC, grant DMR-2309043). Partial support was provided by the Wisconsin MRSEC grant (DMR-2309000). D.H.K. acknowledges support from the National Research Foundation of Korea (NRF) grant funded by the Korean government (MSIT) (NRF-2021R1C1C2012905). C.Y.C. acknowledges support from the NSF Graduate Research Fellowship Program (NSF GRFP, DGE-1845298).</t>
  </si>
  <si>
    <t>DEC 30</t>
  </si>
  <si>
    <t>10.1021/acs.macromol.4c01659</t>
  </si>
  <si>
    <t>S2S7L</t>
  </si>
  <si>
    <t>WOS:001387052900001</t>
  </si>
  <si>
    <t>Díaz, JC; Uhlenbrock, CE; Singh, N; Kamcev, J</t>
  </si>
  <si>
    <t>Diaz, Jose C.; Uhlenbrock, Christina E.; Singh, Nirala; Kamcev, Jovan</t>
  </si>
  <si>
    <t>Coordination, hydration, and diffusion of vanadyl cations in negatively charged polymer membranes</t>
  </si>
  <si>
    <t>Ion-exchange membrane; X-ray absorption spectroscopy; Ion hydration; Ion diffusion</t>
  </si>
  <si>
    <t>NUCLEAR-MAGNETIC-RESONANCE; ION-EXCHANGE MEMBRANES; ELECTRONIC-STRUCTURE; SELF-DIFFUSION; MOLECULAR-DYNAMICS; NEUTRALIZED NAFION; METAL-IONS; EXAFS; TRANSPORT; WATER</t>
  </si>
  <si>
    <t>Charged polymer membranes that selectively transport ions are crucial for advancing electrochemical technologies for water purification, resource recovery, and energy generation/storage. Recent studies suggest that the ion selectivity trends of such membranes are due to ion dehydration at the membrane/solution interface, where ions that require less energy to shed their hydration can partition more favorably into the membrane. However, direct evidence of ion dehydration in polymer membranes at relevant conditions is scarce, with claims based primarily on correlations between ion hydration energies and membrane transport properties. This study investigates the electronic environment, local coordination, and hydration of vanadyl counter-ion in negatively charged membranes with broadly varying water content via x-ray absorption spectroscopy. The results highlight that vanadyl counter-ions maintain similar oxidation state, electronic state, and coordination number in the membranes as in aqueous solutions of vanadyl sulfate and that vanadyl dehydration is unlikely in these membranes. However, as the membrane water content decreases, the vanadyl diffusion coefficient decreases and the activation energy of diffusion increases. We attribute these significant changes in membrane transport properties to increased Coulombic interactions between vanadyl and the fixed charge groups, resulting from a decreased dielectric constant of the membrane, rather than to ion dehydration at the membrane/solution interface. This study represents significant progress in understanding the mechanisms that govern ion transport in charged polymer membranes over a broad range of water content, highlighting the critical role of Coulombic interactions between the fixed charges and mobile ions.</t>
  </si>
  <si>
    <t>[Diaz, Jose C.; Uhlenbrock, Christina E.; Singh, Nirala; Kamcev, Jovan] Univ Michigan, Dept Chem Engn, North Campus Res Complex B28,2800 Plymouth Rd, Ann Arbor, MI 48109 USA; [Kamcev, Jovan] Univ Michigan, Macromol Sci &amp; Engn, North Campus Res Complex B28,2800 Plymouth Rd, Ann Arbor, MI 48109 USA</t>
  </si>
  <si>
    <t>Singh, N; Kamcev, J (corresponding author), Univ Michigan, Dept Chem Engn, North Campus Res Complex B28,2800 Plymouth Rd, Ann Arbor, MI 48109 USA.</t>
  </si>
  <si>
    <t>snirala@umich.edu; jkamcev@umich.edu</t>
  </si>
  <si>
    <t>Uhlenbrock, Christina/0009-0007-8657-330X; Díaz, José Carlos/0000-0002-6997-3789; Singh, Nirala/0000-0003-0389-3927; Kamcev, Jovan/0000-0003-0379-5171</t>
  </si>
  <si>
    <t>U.S. Department of Energy, Office of Science, Basic Energy Sciences [DE-SC0022040]; NSF [2236770]; National Defense Science and Engineering Graduate (NDSEG) Fellowship by the Office of Naval Research (ONR); NSF through the University of Pennsylvania Materials Research Science and Engineering Center (MRSEC) [DMR-2309043]; Advanced Photon Source, a U.S. Department of Energy (DOE) Office of Science user facility operated for the DOE Office of Science by Argonne National Laboratory [DE-AC02-06CH11357]</t>
  </si>
  <si>
    <t>U.S. Department of Energy, Office of Science, Basic Energy Sciences(United States Department of Energy (DOE)); NSF(National Science Foundation (NSF)); National Defense Science and Engineering Graduate (NDSEG) Fellowship by the Office of Naval Research (ONR); NSF through the University of Pennsylvania Materials Research Science and Engineering Center (MRSEC)(National Science Foundation (NSF)); Advanced Photon Source, a U.S. Department of Energy (DOE) Office of Science user facility operated for the DOE Office of Science by Argonne National Laboratory(United States Department of Energy (DOE))</t>
  </si>
  <si>
    <t>This material is based upon work supported by the U.S. Department of Energy, Office of Science, Basic Energy Sciences under Award Number DE-SC0022040. N.S. acknowledges funding from NSF Grant #2236770. J.C.D. would like to acknowledge support from the National Defense Science and Engineering Graduate (NDSEG) Fellowship Award supported by the Office of Naval Research (ONR) . The authors acknowledge the use of facilities supported by the Laboratory for Research on the Structure of Matter and the NSF through the University of Pennsylvania Materials Research Science and Engineering Center (MRSEC) DMR-2309043. We thank Dr. Iryna Golovina form MRSEC for help in collecting the SAXS spectra of the vanadyl-form membranes. This research used resources of the Advanced Photon Source, a U.S. Department of Energy (DOE) Office of Science user facility operated for the DOE Office of Science by Argonne National Laboratory under Contract No. DE-AC02-06CH11357. XAFS data was collected at beamline 20-BM. Sector 20 operations are supported by the US Department of Energy and the Canadian Light Source. We thank Dr. Chengjun Sun and Dr. Harsh Agarwal for their help in collecting V K-edge spectra. We thank David Kitto for fruitful discussions on accurately fitting the linearized Arrhe-nius equation using the general least-squares fitting method. We thank Rahul Sujanani for fruitful discussion on accounting for the phase separated morphology of Nafion 117 when considering ion transport across this membrane.</t>
  </si>
  <si>
    <t>NOV 1</t>
  </si>
  <si>
    <t>10.1016/j.cej.2024.155942</t>
  </si>
  <si>
    <t>H3H9H</t>
  </si>
  <si>
    <t>WOS:001322390300001</t>
  </si>
  <si>
    <t>Hanlan, JM; Durian, DJ</t>
  </si>
  <si>
    <t>Hanlan, Jesse M.; Durian, Douglas J.</t>
  </si>
  <si>
    <t>Taut-line buzzers with periodic forcing</t>
  </si>
  <si>
    <t>PHYSICAL REVIEW APPLIED</t>
  </si>
  <si>
    <t>The time-dependent forcing and work per cycle required to drive sinusoidal spinning of a taut-line buzzer is analytically derived, both on and off resonance, from the nonlinear equation of motion. To test predictions, a model experimental system is constructed and characterized in terms of contraction versus twist angle and damped oscillations. The predicted force profile is then approximately implemented by hand. Nearly sinusoidal motion is observed and the energy injection per cycle needed to maintain steadystate oscillations is found to agree with theory. Additional force profiles are implemented, one in an attempt to maximize nonsinusoidal response and one to minimize operator effort. With the latter, an aluminum disk of radius 5 cm and height 0.95 cm was spun at a peak speed of over 11 000 revolutions per minute for 15 min. The corresponding hand-powered centrifuge system would require 1.5 times more force, twice the power, and triple the time in order to run 90 times more samples than the prior state of the art.</t>
  </si>
  <si>
    <t>[Hanlan, Jesse M.; Durian, Douglas J.] Univ Penn, Dept Phys &amp; Astron, Philadelphia, PA 19104 USA; [Durian, Douglas J.] Univ Penn, Dept Mech Engn &amp; Appl Mech, Philadelphia, PA 19104 USA</t>
  </si>
  <si>
    <t>Durian, DJ (corresponding author), Univ Penn, Dept Phys &amp; Astron, Philadelphia, PA 19104 USA.;Durian, DJ (corresponding author), Univ Penn, Dept Mech Engn &amp; Appl Mech, Philadelphia, PA 19104 USA.</t>
  </si>
  <si>
    <t>djdurian@physics.upenn.edu</t>
  </si>
  <si>
    <t>Durian, Douglas/D-7013-2012</t>
  </si>
  <si>
    <t>Durian, Douglas/0000-0003-3240-2381; Hanlan, Jesse/0000-0001-8214-5606</t>
  </si>
  <si>
    <t>National Science Foundation (NSF) [MRSEC/DMR-1720530, MRSEC/DMR-2309043]; Center for Computational Biology at the Flatiron Institute, a division of the Simons Foundation; Isaac Newton Institute for Mathematical Sciences [EP/R014601/1]</t>
  </si>
  <si>
    <t>National Science Foundation (NSF)(National Science Foundation (NSF)); Center for Computational Biology at the Flatiron Institute, a division of the Simons Foundation; Isaac Newton Institute for Mathematical Sciences</t>
  </si>
  <si>
    <t>We thank Peter Harnish and Mary Marcopul for instrumentation support. This work was partially supported by the National Science Foundation (NSF) Grants No. MRSEC/DMR-1720530 and No. MRSEC/DMR-2309043. D.J.D. thanks Center for Computational Biology at the Flatiron Institute, a division of the Simons Foundation, as well as the Isaac Newton Institute for Mathematical Sciences under the program New Statistical Physics in Liv ing Matter (Engineering and Physical Sciences Research Council (EPSRC) Grant No. EP/R014601/1) , for support and hospitality while a portion of this research was carried out.</t>
  </si>
  <si>
    <t>2331-7019</t>
  </si>
  <si>
    <t>PHYS REV APPL</t>
  </si>
  <si>
    <t>Phys. Rev. Appl.</t>
  </si>
  <si>
    <t>JUL 3</t>
  </si>
  <si>
    <t>10.1103/PhysRevApplied.22.014012</t>
  </si>
  <si>
    <t>Physics, Applied</t>
  </si>
  <si>
    <t>XU1A7</t>
  </si>
  <si>
    <t>WOS:001264087700001</t>
  </si>
  <si>
    <t>Sheehan, CJ; Suo, S; Jeon, S; Zheng, YCX; Meng, JH; Zhao, FY; Yang, ZC; Xiao, LQ; Venkatesan, S; Metlay, AS; Donley, CL; Stach, EA; Lian, TQ; Mallouk, TE</t>
  </si>
  <si>
    <t>Sheehan, Colton J.; Suo, Sa; Jeon, Sungho; Zheng, Yunchangxiang; Meng, Jinhui; Zhao, Fengyi; Yang, Zhicheng; Xiao, Langqiu; Venkatesan, Srikar; Metlay, Amy S.; Donley, Carrie L.; Stach, Eric A.; Lian, Tianquan; Mallouk, Thomas E.</t>
  </si>
  <si>
    <t>Electron Transfer Energetics in Photoelectrochemical CO2 Reduction at Viologen Redox Polymer-Modified p-Si Electrodes</t>
  </si>
  <si>
    <t>QUARTZ-CRYSTAL MICROBALANCE; HYDROGEN GENERATION; RAMAN-SPECTROSCOPY; SILICON; SELECTIVITY; FILMS</t>
  </si>
  <si>
    <t>While redox polymer-mediated catalysis at silicon photoelectrodes has been studied since the 1980s, there have been few detailed studies of these materials in photoelectrochemical CO2 reduction. Here, we develop silicon photoelectrodes functionalized with a viologen-based polymer that mediates the formation of catalytic gold nanoparticles. The presence of gold was confirmed by X-ray photoelectron spectroscopy (XPS), and the nanoparticles were imaged with high-angle annular dark field scanning transmission electron microscopy (HAADF-STEM). We probed the CO2 reduction process during bulk photoelectrolysis to find modest, yet consistent CO faradaic efficiencies across a range of applied potentials. Operando surface-enhanced Raman spectroscopy (SERS) was used to measure the Fermi levels of both the viologen polymer and the Au catalyst sites. The operando measurement of the Fermi levels of all three components of the photocathode provides a unified picture of the electron transfer process in the semiconductor-redox polymer-catalyst system. The redox polymer serves as the electron transfer mediator between the Si substrate and Au sites. In addition, the Au Fermi level equilibrates with the Fermi level of the viologen polymer, which in turn fixes the quasi-Fermi level of Au catalysts at the p-Si/redox polymer interface. This suggests a potential future direction of using redox polymers with tunable potentials to modulate the potential of metal cocatalysts and thus control the reaction selectivity.</t>
  </si>
  <si>
    <t>[Sheehan, Colton J.; Xiao, Langqiu; Venkatesan, Srikar; Metlay, Amy S.; Mallouk, Thomas E.] Univ Penn, Dept Chem, Philadelphia, PA 19104 USA; [Suo, Sa; Zheng, Yunchangxiang; Meng, Jinhui; Zhao, Fengyi; Yang, Zhicheng; Lian, Tianquan] Emory Univ, Dept Chem, Atlanta, GA 30322 USA; [Jeon, Sungho; Stach, Eric A.] Univ Penn, Dept Mat Sci &amp; Engn, Philadelphia, PA 19104 USA; [Donley, Carrie L.] Univ North Carolina Chapel Hill, Chapel Hill Analyt &amp; Nanofabricat Lab CHANL, Chapel Hill, NC 27599 USA</t>
  </si>
  <si>
    <t>University of Pennsylvania; Emory University; University of Pennsylvania; University of North Carolina; University of North Carolina Chapel Hill; University of North Carolina School of Medicine</t>
  </si>
  <si>
    <t>Mallouk, TE (corresponding author), Univ Penn, Dept Chem, Philadelphia, PA 19104 USA.;Lian, TQ (corresponding author), Emory Univ, Dept Chem, Atlanta, GA 30322 USA.</t>
  </si>
  <si>
    <t>mallouk@sas.upenn.edu; tlian@emory.edu</t>
  </si>
  <si>
    <t>Meng, Jinhui/KWT-5892-2024; Mallouk, Thomas/K-7391-2012; Sheehan, Colton/MEO-2644-2025; Stach, Eric/D-8545-2011; Xiao, Langqiu/HJA-2827-2022</t>
  </si>
  <si>
    <t>Meng, Jinhui/0000-0002-9663-5769; Zhao, Fengyi/0000-0003-4837-9294; Venkatesan, Srikar/0009-0007-5899-2283; Sheehan, Colton/0000-0002-0284-5627; Stach, Eric/0000-0002-3366-2153; Xiao, Langqiu/0000-0003-0695-3075</t>
  </si>
  <si>
    <t>Division of Graduate Education [DESC0021173]; U.S. Department of Energy, Office of Science, Office of Basic Energy Sciences [NNCI-2025608]; NSF National Nanotechnology Coordinated Infrastructure Program [DMR-2309043]; University of Pennsylvania Materials Research Science and Engineering Center (MRSEC) [ECCS-2025064]; National Science Foundation [DGE-1845298]; National Science Foundation Graduate Research Fellowship Program (NSF GRFP)</t>
  </si>
  <si>
    <t>Division of Graduate Education(National Science Foundation (NSF)NSF - Directorate for STEM Education (EDU)); U.S. Department of Energy, Office of Science, Office of Basic Energy Sciences(United States Department of Energy (DOE)); NSF National Nanotechnology Coordinated Infrastructure Program; University of Pennsylvania Materials Research Science and Engineering Center (MRSEC); National Science Foundation(National Science Foundation (NSF)); National Science Foundation Graduate Research Fellowship Program (NSF GRFP)(National Science Foundation (NSF)NSF - Office of the Director (OD))</t>
  </si>
  <si>
    <t>This material is based upon work supported as part of the Center for Hybrid Approaches in Solar Energy to Liquid Fuels (CHASE), an Energy Innovation Hub funded by the U.S. Department of Energy, Office of Science, Office of Basic Energy Sciences under Award Number DESC0021173. Electron microscopy was carried out at the Singh Center for Nanotechnology, which is supported by the NSF National Nanotechnology Coordinated Infrastructure Program under grant NNCI-2025608 and through the use of facilities supported by the University of Pennsylvania Materials Research Science and Engineering Center (MRSEC) DMR-2309043. This work was performed in part at the Chapel Hill Analytical and Nanofabrication Laboratory, CHANL, a member of the North Carolina Research Triangle Nanotechnology Network, RTNN, which is supported by the National Science Foundation, Grant ECCS-2025064, as part of the National Nanotechnology Coordinated Infrastructure, NNCI. C.J.S. acknowledges the National Science Foundation Graduate Research Fellowship Program (NSF GRFP, DGE-1845298).</t>
  </si>
  <si>
    <t>MAR 6</t>
  </si>
  <si>
    <t>10.1021/jacs.4c17762</t>
  </si>
  <si>
    <t>0IA7X</t>
  </si>
  <si>
    <t>WOS:001440340500001</t>
  </si>
  <si>
    <t>Tucker, TD; Yang, ZM; Bugallo, D; Dutta, R; Laxmeesha, PM; Marrero-Hernández, GA; May, SJ</t>
  </si>
  <si>
    <t>Tucker, Tessa D.; Yang, Zongmin; Bugallo, David; Dutta, Rajesh; Laxmeesha, Prajwal M.; Marrero-Hernandez, Gabriela A.; May, Steven J.</t>
  </si>
  <si>
    <t>Substrate-Dependent Optical Blue-Shift upon F Incorporation in Oxyfluoride SrCo(O,F)3-x Films</t>
  </si>
  <si>
    <t>INORGANIC CHEMISTRY</t>
  </si>
  <si>
    <t>THIN-FILMS; OXYGEN VACANCIES; GROWTH</t>
  </si>
  <si>
    <t>Heteroanionic oxides are attractive for their structural versatility and property tunability. In this work, we report on optoelectronic properties in epitaxial oxyfluoride SrCo(O,F)3-x films synthesized on multiple (001)-oriented perovskite substrates. Topochemical fluorination was conducted on the as-grown SrCoO2.5 films at 200 degrees C using vapor from poly(vinylidene fluoride) (PVDF) as the fluoride source, producing films with a nominal SrCoO2.2F0.6 composition. Uniform fluoride insertion in each film was confirmed via depth-dependent elemental analysis, performed with X-ray photoelectron spectroscopy (XPS). Fluoride incorporation results in an expansion of the c-axis parameter, an increase in resistivity, and a blue-shift of the optical absorption edge by 0.18-0.5 eV. The magnitude of the band gap increase is strongly dependent on the in-plane lattice parameter of the substrate with larger blue-shifts observed in films grown on substrates with smaller lattice parameters, a trend that mirrors the larger resistivity enhancements present in the compressively strained oxyfluoride films. These results are attributed to the interplay between epitaxial strain and fluoride lattice site occupation, suggesting strain-dependent control of anionic arrangements is a promising route for engineering optoelectronic properties in heteroanionic films.</t>
  </si>
  <si>
    <t>[Tucker, Tessa D.; Yang, Zongmin; Bugallo, David; Dutta, Rajesh; Laxmeesha, Prajwal M.; Marrero-Hernandez, Gabriela A.; May, Steven J.] Drexel Univ, Dept Mat Sci &amp; Engn, Philadelphia, PA 19104 USA; [Marrero-Hernandez, Gabriela A.] Univ Puerto Rico Cayey, Dept Chem, Cayey, PR 00736 USA</t>
  </si>
  <si>
    <t>Drexel University; University of Puerto Rico; University of Puerto Rico at Cayey</t>
  </si>
  <si>
    <t>May, SJ (corresponding author), Drexel Univ, Dept Mat Sci &amp; Engn, Philadelphia, PA 19104 USA.</t>
  </si>
  <si>
    <t>smay@drexel.edu</t>
  </si>
  <si>
    <t>Dutta, Rajesh/CAH-5490-2022; May, Steven/M-5381-2019; Bugallo, David/AAA-1884-2019</t>
  </si>
  <si>
    <t>Dutta, Rajesh/0000-0002-6009-5158; Tucker, Tessa/0000-0003-0176-315X; Bugallo, David/0000-0002-5636-9267</t>
  </si>
  <si>
    <t>Division of Civil, Mechanical and Manufacturing Innovation [CMMI-2001888]; National Science Foundation [101063432]; European Union through the Marie Sklstrok;odowska-Curie Actions Postdoctoral Fellowship [NSF-DMR-2122-102]; National Science Foundation, through the Partnerships for Research and Education in Materials Research (PREM) program [DMR-2309043]; NSF through the University of Pennsylvania Materials Research Science and Engineering Center (MRSEC); Marie Curie Actions (MSCA) [101063432] Funding Source: Marie Curie Actions (MSCA)</t>
  </si>
  <si>
    <t>Division of Civil, Mechanical and Manufacturing Innovation(National Science Foundation (NSF)NSF - Directorate for Engineering (ENG)); National Science Foundation(National Science Foundation (NSF)); European Union through the Marie Sklstrok;odowska-Curie Actions Postdoctoral Fellowship; National Science Foundation, through the Partnerships for Research and Education in Materials Research (PREM) program(National Science Foundation (NSF)); NSF through the University of Pennsylvania Materials Research Science and Engineering Center (MRSEC)(National Science Foundation (NSF)); Marie Curie Actions (MSCA)(Marie Curie Actions)</t>
  </si>
  <si>
    <t>This work was supported by the National Science Foundation (CMMI-2001888). D.B. acknowledges the funding received from the European Union through the Marie Sk &amp; lstrok;odowska-Curie Actions Postdoctoral Fellowship (ref 101063432). G.M.H. was supported by the National Science Foundation, through the Partnerships for Research and Education in Materials Research (PREM) program, under grant NSF-DMR-2122-102. We acknowledge use of the Materials Characterization Core facilities at Drexel and thank Dr. Hussein Hijazi for Rutherford backscattering spectrometry measurements at the Laboratory for Surface Modification Facilities at Rutgers University. We acknowledge the use of an XRD facility supported by the Laboratory for Research on the Structure of Matter and the NSF through the University of Pennsylvania Materials Research Science and Engineering Center (MRSEC) DMR-2309043.</t>
  </si>
  <si>
    <t>0020-1669</t>
  </si>
  <si>
    <t>1520-510X</t>
  </si>
  <si>
    <t>INORG CHEM</t>
  </si>
  <si>
    <t>Inorg. Chem.</t>
  </si>
  <si>
    <t>FEB 27</t>
  </si>
  <si>
    <t>10.1021/acs.inorgchem.4c05324</t>
  </si>
  <si>
    <t>Chemistry, Inorganic &amp; Nuclear</t>
  </si>
  <si>
    <t>Z8B2P</t>
  </si>
  <si>
    <t>WOS:001433823300001</t>
  </si>
  <si>
    <t>Laxmeesha, PM; Dutta, R; Rai, RK; Sheikh, S; DiScala, MF; Jayathilake, UM; Velic, A; Tandon, T; Tucker, TD; Klewe, C; Ambaye, H; Charlton, T; Lee, TL; Stach, EA; Plumb, KW; Gray, AX; May, SJ</t>
  </si>
  <si>
    <t>Laxmeesha, Prajwal M.; Dutta, Rajesh; Rai, Rajeev Kumar; Sheikh, Sharup; DiScala, Michael F.; Jayathilake, Uditha M.; Velic, Alexander; Tandon, Tarush; Tucker, Tessa D.; Klewe, Christoph; Ambaye, Haile; Charlton, Timothy; Lee, Tien-Lin; Stach, Eric A.; Plumb, Kemp W.; Gray, Alexander X.; May, Steven J.</t>
  </si>
  <si>
    <t>Evolution of electronic and magnetic properties in Mn- and Co-alloyed ferromagnetic kagome metal Fe3Sn2</t>
  </si>
  <si>
    <t>APL MATERIALS</t>
  </si>
  <si>
    <t>DICHROISM; IRON; FE</t>
  </si>
  <si>
    <t>Kagome metals are an intriguing class of quantum materials as the presence of both flat bands and Dirac points provides access to functional properties present in strongly correlated and topological materials. To fully harness these electronic features, the ability to tune the Fermi level relative to the band positions is needed. Here, we explore the structural, electronic, and magnetic impacts of substitutional alloying within ferromagnetic kagome metal Fe3Sn2 in thin films grown by molecular beam epitaxy. Transition metals, Mn and Co, are chosen as substitutes for Fe to reduce or increase the d-band electron count, thereby moving the Fermi level accordingly. We find that Co is not incorporated into the Fe3Sn2 structure but instead results in a two-phase Fe-Co and (Fe,Co)Sn composite. In contrast, Fe3-xMnxSn2 films are realized with x of up to 1.0, retaining crystalline quality comparable with the parent phase. The incorporation of Mn repositions the flat bands relative to the Fermi level in a manner consistent with hole-doping, as revealed by hard x-ray photoemission and density functional theory. The Fe3-xMnxSn2 films retain room temperature ferromagnetism, with x-ray magnetic circular dichroism measurements confirming that the Fe and Mn moments are ferromagnetically aligned. The ability to hole-dope this magnetic kagome metal provides a platform for tuning properties, such as anomalous Hall and Nernst responses.</t>
  </si>
  <si>
    <t>[Laxmeesha, Prajwal M.; Dutta, Rajesh; Velic, Alexander; Tandon, Tarush; Tucker, Tessa D.; May, Steven J.] Drexel Univ, Dept Mat Sci &amp; Engn, Philadelphia, PA 19104 USA; [Rai, Rajeev Kumar; Stach, Eric A.] Univ Penn, Dept Mat Sci &amp; Engn, Philadelphia, PA 19104 USA; [Sheikh, Sharup; Jayathilake, Uditha M.; Gray, Alexander X.] Temple Univ, Dept Phys, Philadelphia, PA 19122 USA; [DiScala, Michael F.; Plumb, Kemp W.] Brown Univ, Dept Phys, Providence, RI 02912 USA; [Klewe, Christoph] Lawrence Berkeley Natl Lab, Adv Light Source, Berkeley, CA 94720 USA; [Ambaye, Haile; Charlton, Timothy] Oak Ridge Natl Lab, Neutron Sci Div, Oak Ridge, TN 37830 USA; [Lee, Tien-Lin] Diamond Light Source Ltd, Didcot OX11 0DE, Oxon, England</t>
  </si>
  <si>
    <t>Drexel University; University of Pennsylvania; Pennsylvania Commonwealth System of Higher Education (PCSHE); Temple University; Brown University; United States Department of Energy (DOE); Lawrence Berkeley National Laboratory; United States Department of Energy (DOE); Oak Ridge National Laboratory; Diamond Light Source</t>
  </si>
  <si>
    <t>U.S. Department of Energy [DE-SC0024204, DE-SC0024132]; National Science Foundation [2429695, NNCI-2025608, DMR-2309043]</t>
  </si>
  <si>
    <t>U.S. Department of Energy(United States Department of Energy (DOE)); National Science Foundation(National Science Foundation (NSF))</t>
  </si>
  <si>
    <t>This research was primarily supported by the U.S. Department of Energy (DOE), Office of Science, Basic Energy Sciences (BES), under Award No. DE-SC0024204 (neutron scattering, materials synthesis, x-ray scattering, x-ray spectroscopy analysis, magnetometry, and density functional theory). A.X.G., S.S., and U.M.J. (photoelectron spectroscopy and analysis) acknowledge support from the U.S. Department of Energy, Office of Science, Office of Basic Energy Sciences, Materials Sciences and Engineering Division under Award No. DE-SC0024132. Work at Brown University was supported by the National Science Foundation under Grant No. 2429695. This work used resources of the Singh Center for Nanotechnology, which is supported by the NSF National Nanotechnology Coordinated Infrastructure Program under Grant No. NNCI-2025608 and through the use of facilities supported by the University of Pennsylvania Materials Research Science and Engineering Center (MRSEC) under Grant No. DMR-2309043. A portion of this research used resources at the Spallation Neutron Source, a DOE Office of Science User Facility operated by the Oak Ridge National Laboratory; the beam time was allocated to MAGREF on Proposal No. IPTS- 32923. We thank Hussein Hijazi at Rutgers University for performing timely RBS experiments. We also acknowledge use of the material characterization core facility at Drexel University.</t>
  </si>
  <si>
    <t>AIP Publishing</t>
  </si>
  <si>
    <t>1305 WALT WHITMAN RD, STE 300, MELVILLE, NY 11747-4501 USA</t>
  </si>
  <si>
    <t>2166-532X</t>
  </si>
  <si>
    <t>APL MATER</t>
  </si>
  <si>
    <t>APL Mater.</t>
  </si>
  <si>
    <t>10.1063/5.0308605</t>
  </si>
  <si>
    <t>Nanoscience &amp; Nanotechnology; Materials Science, Multidisciplinary; Physics, Applied</t>
  </si>
  <si>
    <t>Science &amp; Technology - Other Topics; Materials Science; Physics</t>
  </si>
  <si>
    <t>IG4QH</t>
  </si>
  <si>
    <t>WOS:001771104000001</t>
  </si>
  <si>
    <t>Kaur, M; Ebadi, A; Zhang, XY; Liu, HJ; Chen, CY; Stach, EA; Liu, Q</t>
  </si>
  <si>
    <t>Kaur, Manpreet; Ebadi, Ali; Zhang, Xingying; Liu, Huanjing; Chen, Cheng-Yu; Stach, Eric A.; Liu, Qian</t>
  </si>
  <si>
    <t>Semi-supervised spatiotemporal segmentation of in situ transmission electron microscopy for nanoparticle dynamics</t>
  </si>
  <si>
    <t>MATERIALS TODAY PHYSICS</t>
  </si>
  <si>
    <t>Transmission electron microscopy; Nanoparticle morphology analysis; Spatiotemporal deep learning; Semi-supervised segmentation; Transformers; Temporal convolutional network</t>
  </si>
  <si>
    <t>COALESCENCE</t>
  </si>
  <si>
    <t>Understanding the real-time morphological evolution of nanoparticles under varying thermal and environmental conditions is crucial for revealing the mechanisms that govern their stability, growth, and functional performance in applications such as catalysis and nanomanufacturing. In-situ transmission electron microscopy provides direct, atomic-scale visualization of these dynamic processes through sequential imaging, capturing subtle transformations on a frame-by-frame basis. However, extracting reliable shape descriptors from such sequential image data remains challenging due to high noise, low contrast, inter-particle overlap, and the manual effort required for annotation. Existing segmentation methods often treat each frame independently, overlooking the temporal continuity inherent in in-situ imaging and failing to capture subtle but critical morphological transitions that underpin particle reshaping, coalescence, and structural evolution. To address these limitations, we present Swin U-Net Transformer with Temporal Convolutional Network for Segmentation (SwinTCN-Seg), a semi-supervised, spatiotemporally-aware framework that fuses transformer-based spatial encoding with temporal modeling to enable reliable analysis of morphological evolution in dynamic nanoparticle systems. Moreover, to reduce the need for dense manual labels, SwinTCN-Seg employs a pseudo-label propagation scheme that utilizes high-confidence predictions from labeled frames to guide learning on unlabeled ones, thereby uncovering transitional configurations. We validate SwinTCN-Seg on a large corpus of in-situ sequences of gold (Au) and platinum (Pt) nanoparticles imaged from 650 degrees C to 900 degrees C under vacuum and air environments. Despite being trained on only 5% of the labeled frames, the model achieves high segmentation accuracy, particularly in high-temperature regimes (&gt;= 800 degrees C) where conventional methods struggle to detect complex phenomena such as faceting, sintering, and fragmentation. Code and models are available at https://github.com/kaur-manpreet325/TEM-Seg.</t>
  </si>
  <si>
    <t>[Kaur, Manpreet; Ebadi, Ali; Liu, Huanjing; Liu, Qian] Univ Winnipeg, Dept Appl Comp Sci &amp; Soc, Winnipeg, MB, Canada; [Zhang, Xingying] Univ Manitoba, Dept Mech Engn, Winnipeg, MB, Canada; [Chen, Cheng-Yu; Stach, Eric A.] Univ Penn, Dept Mat Sci &amp; Engn, Philadelphia, PA USA</t>
  </si>
  <si>
    <t>University of Winnipeg; University of Manitoba; University of Pennsylvania</t>
  </si>
  <si>
    <t>Liu, Q (corresponding author), Univ Winnipeg, Dept Appl Comp Sci &amp; Soc, Winnipeg, MB, Canada.</t>
  </si>
  <si>
    <t>qi.liu@uwinnipeg.ca</t>
  </si>
  <si>
    <t>Liu, Huanjing/PHO-1086-2026; ebadi, alireza/AAD-1039-2022; Stach, Eric/D-8545-2011</t>
  </si>
  <si>
    <t>U.S. National Science Foundation; Division of Materials Research's Metals and Metallic Nanostructures program [DMR-2303084]; NSF National Nanotechnology Coordinated Infrastructure Program [NNCI-2025608]; University of Pennsylvania Materials Research Science and Engineering Center (MRSEC) [DMR-2309043]; Natural Sciences and Engineering Research Council of Canada (NSERC) [RGPIN-2024-05844]</t>
  </si>
  <si>
    <t>U.S. National Science Foundation(National Science Foundation (NSF)); Division of Materials Research's Metals and Metallic Nanostructures program; NSF National Nanotechnology Coordinated Infrastructure Program; University of Pennsylvania Materials Research Science and Engineering Center (MRSEC); Natural Sciences and Engineering Research Council of Canada (NSERC)(Natural Sciences and Engineering Research Council of Canada (NSERC))</t>
  </si>
  <si>
    <t>This experimental work was carried out (C.-Y.C., E.A.S.) with primary support from the U.S. National Science Foundation, Division of Materials Research's Metals and Metallic Nanostructures program (DMR-2303084). This work used electron microscopy resources of the Singh Center for Nanotechnology, which is supported by the NSF National Nanotechnology Coordinated Infrastructure Program under grant NNCI-2025608, by the University of Pennsylvania Materials Research Science and Engineering Center (MRSEC), DMR-2309043 and by the Natural Sciences and Engineering Research Council of Canada (NSERC) [grant number RGPIN-2024-05844].</t>
  </si>
  <si>
    <t>2542-5293</t>
  </si>
  <si>
    <t>MATER TODAY PHYS</t>
  </si>
  <si>
    <t>Mater. Today Phys.</t>
  </si>
  <si>
    <t>FEB</t>
  </si>
  <si>
    <t>10.1016/j.mtphys.2026.102033</t>
  </si>
  <si>
    <t>JAN 2026</t>
  </si>
  <si>
    <t>Materials Science, Multidisciplinary; Physics, Applied</t>
  </si>
  <si>
    <t>Materials Science; Physics</t>
  </si>
  <si>
    <t>DE2VU</t>
  </si>
  <si>
    <t>WOS:001681366000001</t>
  </si>
  <si>
    <t>Pathreeker, SS; Shah, NH; Fullerton, WR; Detsi, E; Li, CY; Composto, RJ</t>
  </si>
  <si>
    <t>Pathreeker, Shreyas S.; Shah, Nisha H.; Fullerton, William R.; Detsi, Eric; Li, Christopher Y.; Composto, Russell J.</t>
  </si>
  <si>
    <t>The Polymer Structure-Ion Conductivity-Mechanical Property Relationship in Comb-Chain Polymer Network Electrolytes for Sodium Metal Batteries</t>
  </si>
  <si>
    <t>cross-linked polymer networks; ion-containing polymers; sodium batteries; solid polymer electrolytes; structure-ion conductivityrelationship</t>
  </si>
  <si>
    <t>TEMPERATURE; RELAXATION; HYDROGELS; KINETICS; SAFE; LINK</t>
  </si>
  <si>
    <t>Toughness reflects extensibility, which is critical for accommodating electrode volume changes in batteries, primarily due to thermal expansion. However, polymer toughness has received less attention for battery dendrite suppression than polymer modulus. Inspired by rubber chemistry, here, we investigate the polymer network structure, ion conductivity, and mechanical properties of cross-linked poly(glycidyl methacrylate) (PGMA)-poly(ethylene glycol) (PEG) networks containing sodium bis (fluorosulfonyl imide) (NaFSI) salt. We explore two PGMA:PEG molar ratios (1:1 and 5:1), and three salt concentrations (Na+ to EO: (r) = 0.01, 0.0625, and 0.25), and observe that lower PGMA content results in higher hydrophilicity and lower cross-link density. These properties translate to a total ion conductivity of 0.5 x 10-4 S/cm at 25 degrees C and nearly 0.5 x 10-3 S/cm at 65 degrees C for the optimum composition (1:1) and salt concentration (r = 0.0625). The polymer electrolytes exhibit good mechanical properties (elongation at strain between 125 and 140%, Young's modulus between 0.3 and 0.7 MPa, and toughness between 0.25 and 0.70 MJ/m3). By virtue of their high ion conductivity and toughness, these comb-chain network SPEs have the potential to exhibit excellent cycling performance in emerging sodium metal batteries.</t>
  </si>
  <si>
    <t>[Pathreeker, Shreyas S.; Shah, Nisha H.; Detsi, Eric; Composto, Russell J.] Univ Penn, Dept Mat Sci &amp; Engn, Philadelphia, PA 19104 USA; [Fullerton, William R.; Li, Christopher Y.] Drexel Univ, Dept Mat Sci &amp; Engn, Philadelphia, PA 19104 USA; [Composto, Russell J.] Univ Penn, Dept Chem &amp; Biomol Engn, Philadelphia, PA 19104 USA</t>
  </si>
  <si>
    <t>University of Pennsylvania; Drexel University; University of Pennsylvania</t>
  </si>
  <si>
    <t>Composto, RJ (corresponding author), Univ Penn, Dept Mat Sci &amp; Engn, Philadelphia, PA 19104 USA.;Composto, RJ (corresponding author), Univ Penn, Dept Chem &amp; Biomol Engn, Philadelphia, PA 19104 USA.</t>
  </si>
  <si>
    <t>composto@seas.upenn.edu</t>
  </si>
  <si>
    <t>Pathreeker, Shreyas/0000-0001-7589-5345; Composto, Russell/0000-0002-5906-2594</t>
  </si>
  <si>
    <t>Division of Materials Research [NSF-DMR-FMRG-2134715, NSF-DMR-2407300]; US National Science Foundation; Laboratory for Research on the Structure of Matter (LRSM) [DMR-2309043]; NSF through the University of Pennsylvania Materials Research Science and Engineering Center (MRSEC) via NSF; Department of Materials Science and Engineering (Penn)</t>
  </si>
  <si>
    <t>Division of Materials Research(National Science Foundation (NSF)NSF - Directorate for Mathematical &amp; Physical Sciences (MPS)); US National Science Foundation(National Science Foundation (NSF)); Laboratory for Research on the Structure of Matter (LRSM); NSF through the University of Pennsylvania Materials Research Science and Engineering Center (MRSEC) via NSF; Department of Materials Science and Engineering (Penn)</t>
  </si>
  <si>
    <t>The authors gratefully acknowledge financial support from the US National Science Foundation via grant NSF-DMR-FMRG-2134715 (SP, WRF, CYL, RJC, and ED) and grant NSF-DMR-2407300 (SP, RJC); Facilities supported by the Laboratory for Research on the Structure of Matter (LRSM) and the NSF through the University of Pennsylvania Materials Research Science and Engineering Center (MRSEC) via NSF-DMR-2309043. We thank Prof. Karen I. Winey for the use of the potentiostat/frequency response analyzer, sorption analyzer, IR spectrometer in her group, and Steven Szewczyk for the use of the dynamic mechanical analyzer in his laboratory, hosted by the Department of Materials Science and Engineering (Penn). The authors also thank Prof. Eric A. Stach and Dr. Mark Licurse for additional support through the LRSM.</t>
  </si>
  <si>
    <t>AUG 8</t>
  </si>
  <si>
    <t>10.1021/acsapm.5c01262</t>
  </si>
  <si>
    <t>5XI2R</t>
  </si>
  <si>
    <t>WOS:001532279600001</t>
  </si>
  <si>
    <t>Iaccarino, PR; Lawal, D; Raney, JR; Stebe, KJ; Lee, DY</t>
  </si>
  <si>
    <t>Iaccarino, Philip R.; Lawal, Damilola; Raney, Jordan R.; Stebe, Kathleen J.; Lee, Daeyeon</t>
  </si>
  <si>
    <t>3D Printing of Bicontinuous Nanoparticle-Stabilized Emulsion Gels via Co-Solvent Removal</t>
  </si>
  <si>
    <t>SMALL</t>
  </si>
  <si>
    <t>bigels; bijels; direct ink write; hierarchical materials; multiphasic inks</t>
  </si>
  <si>
    <t>SEPARATION; MEMBRANES; BIGELS; BIJELS; OIL</t>
  </si>
  <si>
    <t>Bicontinuous emulsion gels are mixtures with interpenetrating arrangements of two immiscible liquids stabilized with particles. The structures of such gels are readily made into simple macroscale geometries, like sheets and fibers; however, achieving more complex macroscopic structures while maintaining control over microscopic features and morphological bicontinuity remains a challenge. In this study, the ability to fabricate complex 3D structures of bicontinuous emulsion gels using direct ink writing (DIW) is demonstrated. The emulsion precursors are formulated with a mixture of hydrophilic and hydrophobic fumed silica particles; these precursors exhibit shear-thinning and yield stress behavior necessary for DIW. The thixotropic nature of the precursor further promotes the formation of bicontinuous emulsion gels through vaporization-induced phase separation and stabilization through both interfacial jamming and bulk stabilization mechanisms. This fabrication technique enables the creation of functional bicontinuous structures with complex architectures, paving the way for application in biomedical implants, catalytic reactors, and beyond.</t>
  </si>
  <si>
    <t>[Iaccarino, Philip R.; Stebe, Kathleen J.; Lee, Daeyeon] Univ Penn, Dept Chem &amp; Biomol Engn, 220 South 33rd St, Philadelphia, PA 19104 USA; [Lawal, Damilola] Univ Penn, Dept Mat Sci &amp; Engn, 3231 Walnut St, Philadelphia, PA 19104 USA; [Raney, Jordan R.; Stebe, Kathleen J.] Univ Penn, Dept Mech Engn &amp; Appl Mech, 220 South 33rd St, Philadelphia, PA 19104 USA</t>
  </si>
  <si>
    <t>Stebe, KJ; Lee, DY (corresponding author), Univ Penn, Dept Chem &amp; Biomol Engn, 220 South 33rd St, Philadelphia, PA 19104 USA.;Stebe, KJ (corresponding author), Univ Penn, Dept Mech Engn &amp; Appl Mech, 220 South 33rd St, Philadelphia, PA 19104 USA.</t>
  </si>
  <si>
    <t>kstebe@seas.upenn.edu; daeyeon@seas.upenn.edu</t>
  </si>
  <si>
    <t>Raney, Jordan/V-8274-2019</t>
  </si>
  <si>
    <t>Penn MRSEC [NSF DMR-2309043]; Penn Soft AE [NSF NRT 2152205]; Air Force Office of Scientific Research [FA9550-23-1-0416]</t>
  </si>
  <si>
    <t>Penn MRSEC(National Science Foundation (NSF)); Penn Soft AE; Air Force Office of Scientific Research(United States Department of DefenseAir Force Office of Scientific Research (AFOSR))</t>
  </si>
  <si>
    <t>The authors acknowledge financial support from Penn MRSEC (NSF DMR-2309043), Penn Soft AE (NSF NRT 2152205), and AFOSR FA9550-23-1-0416. D.L. acknowledges support via a National Defense Science &amp; Engineering Graduate Fellowship. This work was carried out in part at the Singh Center for Nanotechnology, which was supported by the NSF National Nanotechnology Coordinated Infrastructure Program under grant NNCI-2025608, as well as at facilities supported by the Laboratory of Research on the Structure of Matter and the NSF through the University of Pennsylvania Materials Research and Engineering (MRSEC) DMR-2309043. The authors also would like to thank Alexander Johnson (University of Pennsylvania) for insightful discussions on interfacial tension dynamics, Matthew Creighton (University of Pennsylvania) for assistance with compression testing measurements and analysis, Dr. Ivan J. Dmochowski (University of Pennsylvania) for access to the confocal microscope, and Cabot Corporation for generously providing the fumed silica particles used in this study.</t>
  </si>
  <si>
    <t>1613-6810</t>
  </si>
  <si>
    <t>1613-6829</t>
  </si>
  <si>
    <t>Small</t>
  </si>
  <si>
    <t>DEC 1</t>
  </si>
  <si>
    <t>e04718</t>
  </si>
  <si>
    <t>10.1002/smll.202504718</t>
  </si>
  <si>
    <t>AD5BC</t>
  </si>
  <si>
    <t>WOS:001607325700001</t>
  </si>
  <si>
    <t>Gao, DV; Wang, ZY; Jain, M; Mathijssen, AJTM; Tao, R</t>
  </si>
  <si>
    <t>Gao, David; Wang, Zeyuan; Jain, Mihika; Mathijssen, Arnold J. T. M.; Tao, Ran</t>
  </si>
  <si>
    <t>Selective Trapping of Bacteria in Porous Media by Cell Length</t>
  </si>
  <si>
    <t>INTEGRATIVE AND COMPARATIVE BIOLOGY</t>
  </si>
  <si>
    <t>ESCHERICHIA-COLI; MOTILITY; FLOW; CHEMOTAXIS</t>
  </si>
  <si>
    <t>Bacteria commonly inhabit porous environments such as host tissues, soil, and marine sediments, where complex geometries constrain and redirect their motion. Although bacterial motility has been studied in porous media, the roles of cell length and pore shape in navigating these environments remain poorly understood. Here, we investigate how cell morphology and pore architecture jointly determine bacterial spreading behavior. Using genetically engineered Escherichia coli with tunable cell length, we performed single-cell tracking in microfluidic devices that mimic ordered and disordered porous structures. We find that elongated bacteria traverse ordered pore networks more effectively than short cells, exhibiting straighter paths, greater directional persistence, and enhanced exploration efficiency. In contrast, in disordered porous media, elongated bacteria become trapped in dead-end regions for extended periods, resulting in markedly reduced navigational efficiency. Together, these results reveal how cell shape and environmental geometry interact to govern bacterial transport. Moreover, we suggest a new mechanism for separating antimicrobial-resistant bacteria from elongated susceptible cells in designer porous media.</t>
  </si>
  <si>
    <t>[Gao, David; Mathijssen, Arnold J. T. M.; Tao, Ran] Univ Penn, Dept Phys &amp; Astron, Philadelphia, PA 19104 USA; [Gao, David] Univ Penn, Dept Biol, Philadelphia, PA 19104 USA; [Wang, Zeyuan] Univ Penn, Singh Ctr Nanotechnol, Philadelphia, PA 19104 USA; [Jain, Mihika] Univ Penn, Wharton Sch, Philadelphia, PA 19104 USA</t>
  </si>
  <si>
    <t>University of Pennsylvania; University of Pennsylvania; University of Pennsylvania; University of Pennsylvania</t>
  </si>
  <si>
    <t>Mathijssen, AJTM; Tao, R (corresponding author), Univ Penn, Dept Phys &amp; Astron, Philadelphia, PA 19104 USA.</t>
  </si>
  <si>
    <t>amaths@upenn.edu; rtao21@sas.upenn.edu</t>
  </si>
  <si>
    <t>Mathijssen, Arnold/HMO-8666-2023</t>
  </si>
  <si>
    <t>Research Corporation for Science Advancement [CS-CSA-2026-125]; University of Pennsylvania; Charles E. Kaufman Foundation [KA2022-129523, KA2024-144001]; National Science Foundation [DMR-2309043]</t>
  </si>
  <si>
    <t>Research Corporation for Science Advancement(Research Corporation for Science Advancement (RCSA)); University of Pennsylvania; Charles E. Kaufman Foundation; National Science Foundation(National Science Foundation (NSF))</t>
  </si>
  <si>
    <t>A.J.T.M.M. acknowledges funding from the Charles E. Kaufman Foundation (Early Investigator Research Award, KA2022-129523; New Initiative Research Award, KA2024-144001); the National Science Foundation (UPenn MRSEC, DMR-2309043); the University of Pennsylvania (CURF Program); and the Research Corporation for Science Advancement (Cottrell Scholar Award CS-CSA-2026-125).</t>
  </si>
  <si>
    <t>OXFORD UNIV PRESS INC</t>
  </si>
  <si>
    <t>CARY</t>
  </si>
  <si>
    <t>JOURNALS DEPT, 2001 EVANS RD, CARY, NC 27513 USA</t>
  </si>
  <si>
    <t>1540-7063</t>
  </si>
  <si>
    <t>1557-7023</t>
  </si>
  <si>
    <t>INTEGR COMP BIOL</t>
  </si>
  <si>
    <t>Integr. Comp. Biol.</t>
  </si>
  <si>
    <t>icag018</t>
  </si>
  <si>
    <t>10.1093/icb/icag018</t>
  </si>
  <si>
    <t>Zoology</t>
  </si>
  <si>
    <t>GT7KF</t>
  </si>
  <si>
    <t>WOS:001744833300001</t>
  </si>
  <si>
    <t>Pradhan, DK; Moore, DC; Kim, G; He, YF; Musavigharavi, P; Kim, KH; Sharma, N; Han, ZR; Du, XY; Puli, VS; Stach, EA; Kennedy, WJ; Glavin, NR; Olsson, RH III; Jariwala, D</t>
  </si>
  <si>
    <t>Pradhan, Dhiren K.; Moore, David C.; Kim, Gwangwoo; He, Yunfei; Musavigharavi, Pariasadat; Kim, Kwan-Ho; Sharma, Nishant; Han, Zirun; Du, Xingyu; Puli, Venkata S.; Stach, Eric A.; Kennedy, W. Joshua; Glavin, Nicholas R.; Olsson III, Roy H.; Jariwala, Deep</t>
  </si>
  <si>
    <t>A scalable ferroelectric non-volatile memory operating at 600 °C</t>
  </si>
  <si>
    <t>NATURE ELECTRONICS</t>
  </si>
  <si>
    <t>HIGH-TEMPERATURE; BEHAVIOR</t>
  </si>
  <si>
    <t>Non-volatile memory devices that can operate reliably at high temperature are required for the development of extreme environment electronics. However, creating such devices remains challenging. Here we report a non-volatile memory device that is based on an aluminium scandium nitride (Al0.68Sc0.32N) ferroelectric diode and can operate at temperatures of up to 600 degrees C. The devices are composed of metal-insulator-metal structures of nickel/AlScN/platinum grown on 4-inch silicon wafers. They exhibit clear ferroelectric switching up to 600 degrees C with distinct on and off states. At 600 degrees C, the devices exhibit one million read cycles and readable on-off ratios above 1 for over 60 h. The operating voltages of the AlScN ferrodiodes are less than 15 V at 600 degrees C and are thus compatible with silicon-carbide-based high-temperature logic technology. A non-volatile memory device that is based on an aluminium scandium nitride (Al0.68Sc0.32N) ferroelectric diode can operate at temperatures of up to 600 degrees C.</t>
  </si>
  <si>
    <t>[Pradhan, Dhiren K.; Kim, Gwangwoo; He, Yunfei; Musavigharavi, Pariasadat; Kim, Kwan-Ho; Sharma, Nishant; Han, Zirun; Du, Xingyu; Olsson III, Roy H.; Jariwala, Deep] Univ Penn, Dept Elect &amp; Syst Engn, Philadelphia, PA 19104 USA; [Moore, David C.; Puli, Venkata S.; Kennedy, W. Joshua; Glavin, Nicholas R.] Air Force Res Lab, Mat &amp; Mfg Directorate, Dayton, OH 45402 USA; [Musavigharavi, Pariasadat; Stach, Eric A.] Univ Penn, Dept Mat Sci &amp; Engn, Philadelphia, PA USA; [Han, Zirun] Univ Penn, Dept Phys &amp; Astron, Philadelphia, PA USA; [Kim, Gwangwoo] Chungbuk Natl Univ, Dept Engn Chem, Cheongju, South Korea; [Musavigharavi, Pariasadat] Univ Cent Florida, Dept Mat Sci &amp; Engn, Orlando, FL USA</t>
  </si>
  <si>
    <t>University of Pennsylvania; University of Pennsylvania; University of Pennsylvania; Chungbuk National University; State University System of Florida; University of Central Florida</t>
  </si>
  <si>
    <t>Olsson, RH III; Jariwala, D (corresponding author), Univ Penn, Dept Elect &amp; Syst Engn, Philadelphia, PA 19104 USA.;Kennedy, WJ; Glavin, NR (corresponding author), Air Force Res Lab, Mat &amp; Mfg Directorate, Dayton, OH 45402 USA.</t>
  </si>
  <si>
    <t>william.kennedy.21@afrl.af.mil; nicholas.glavin.1@afrl.af.mil; dmj@seas.upenn.edu</t>
  </si>
  <si>
    <t>Kim, Kwan-Ho/IYS-3513-2023; Du, Xingyu/LFV-2002-2024; Puli, Venkata Sreenivas/N-9575-2019; Jariwala, Deep/E-9913-2013; Kim, Gwangwoo/GRF-2194-2022; Kennedy, William/JZE-5276-2024; Han, Zirun/KHE-1260-2024; Moore, David/JCN-4685-2023; Stach, Eric/D-8545-2011; Pradhan, Dhiren K/J-7280-2019</t>
  </si>
  <si>
    <t>Du, Xingyu/0000-0002-4974-5551; Puli, Venkata Sreenivas/0000-0002-2074-0036; Han, Zirun/0009-0005-7171-7898; Moore, David/0009-0004-9496-6427; Stach, Eric/0000-0002-3366-2153; He, Yunfei/0009-0005-0544-692X; Pradhan, Dhiren K/0000-0003-1497-9267</t>
  </si>
  <si>
    <t>United States Department of Defense | United States Air Force | AFMC | Air Force Research Laboratory (AFRL); AFRL via the FAST programme [FA9550-23-1-0391]; Air Force Office of Scientific Research (AFOSR) GHz-THz program [FA9550-24RYCOR011]; AFOSR GHz-THz program; VIPER programme of the Vagelos Institute for Energy Science and Technology at Penn; AFRL via the National Research Council (NRC) [NNCI-1542153]; National Science Foundation (NSF) National Nanotechnology Coordinated Infrastructure Program [DMR-2309043]; NSF through the University of Pennsylvania Materials Research Science and Engineering Center (MRSEC)</t>
  </si>
  <si>
    <t>United States Department of Defense | United States Air Force | AFMC | Air Force Research Laboratory (AFRL); AFRL via the FAST programme; Air Force Office of Scientific Research (AFOSR) GHz-THz program(United States Department of DefenseAir Force Office of Scientific Research (AFOSR)); AFOSR GHz-THz program; VIPER programme of the Vagelos Institute for Energy Science and Technology at Penn; AFRL via the National Research Council (NRC); National Science Foundation (NSF) National Nanotechnology Coordinated Infrastructure Program(National Science Foundation (NSF)); NSF through the University of Pennsylvania Materials Research Science and Engineering Center (MRSEC)(National Science Foundation (NSF))</t>
  </si>
  <si>
    <t>D.J., R.H.O., D.K.P. and G.K. acknowledge primary support for this work from AFRL via the FAST programme. D.J. and K.-H.K. acknowledge primary support from the Air Force Office of Scientific Research (AFOSR) GHz-THz program FA9550-23-1-0391. N.G. and D.M. gratefully acknowledge support from AFOSR GHz-THz program grant number FA9550-24RYCOR011. Z.H. acknowledges support from the VIPER programme of the Vagelos Institute for Energy Science and Technology at Penn. V.S.P. acknowledges support for this work from AFRL via the National Research Council (NRC) senior research associate fellowship programme. A portion of the sample fabrication, assembly and characterization were carried out at the Singh Center for Nanotechnology at the University of Pennsylvania, which is supported by the National Science Foundation (NSF) National Nanotechnology Coordinated Infrastructure Program grant NNCI-1542153. Additional support for the Nanoscale Characterization Facility at the Singh Center was provided by the NSF through the University of Pennsylvania Materials Research Science and Engineering Center (MRSEC) (DMR-2309043).</t>
  </si>
  <si>
    <t>2520-1131</t>
  </si>
  <si>
    <t>NAT ELECTRON</t>
  </si>
  <si>
    <t>Nat. Electron.</t>
  </si>
  <si>
    <t>10.1038/s41928-024-01148-6</t>
  </si>
  <si>
    <t>ZO8E7</t>
  </si>
  <si>
    <t>Y</t>
  </si>
  <si>
    <t>N</t>
  </si>
  <si>
    <t>WOS:001209520300001</t>
  </si>
  <si>
    <t>Li, SS; Song, KD; Liao, YX; Du, YP; Lin, ZD; Wang, KY; Zhang, YL; Yang, S</t>
  </si>
  <si>
    <t>Li, Shangsong; Song, Kaidong; Liao, Yuxuan; Du, Yipu; Lin, Zhengdan; Wang, Kun-Yu; Zhang, Yanliang; Yang, Shu</t>
  </si>
  <si>
    <t>Aerosol-based combinatorial printing of cholesteric liquid crystal elastomers with tunable and pixelated structural colors</t>
  </si>
  <si>
    <t>MATTER</t>
  </si>
  <si>
    <t>Structural colors in living creatures often feature diverse gradient color patterns composed of (sub)micronsized pixels, leading to dynamic and complex visual signals. However, conventional single-material printing of artificial structural colors yields only one color at a time, limiting spatial resolution and tunability. Here, we report a combinatorial aerosol printing (CAP) strategy, a multi-ink variant of aerosol jet printing, to produce pixelated mechanochromic cholesteric liquid crystal elastomers (CLCEs) with approximate to 15 mu m line resolution and 1.1 mu m thickness. By co-delivering and mixing aerosolized inks in situ, CAP enables continuous compositional gradients within individual pixels, yielding high-saturation colors with tunable helical pitch and Young's modulus. Further, CLCE patterns can be directly printed on curved substrates, surpassing constraints of traditional methods. The ability to tailor optical and mechanical properties at high resolution establishes a versatile platform for mechanochromic materials, with applications in responsive displays, QR coding, biomimetic camouflage, and wearable photonic sensors.</t>
  </si>
  <si>
    <t>[Li, Shangsong; Lin, Zhengdan; Wang, Kun-Yu; Yang, Shu] Univ Penn, Dept Mat Sci &amp; Engn, 3231 Walnut St, Philadelphia, PA 19104 USA; [Song, Kaidong; Liao, Yuxuan; Du, Yipu; Zhang, Yanliang] Univ Notre Dame, Dept Aerosp &amp; Mech Engn, 365 Fitzpatrick Hall Engn, Notre Dame, IN 46556 USA</t>
  </si>
  <si>
    <t>University of Pennsylvania; University of Notre Dame</t>
  </si>
  <si>
    <t>Yang, S (corresponding author), Univ Penn, Dept Mat Sci &amp; Engn, 3231 Walnut St, Philadelphia, PA 19104 USA.;Zhang, YL (corresponding author), Univ Notre Dame, Dept Aerosp &amp; Mech Engn, 365 Fitzpatrick Hall Engn, Notre Dame, IN 46556 USA.</t>
  </si>
  <si>
    <t>yzhang45@nd.edu; shuyang@seas.upenn.edu</t>
  </si>
  <si>
    <t>Liao, Yuxuan/JEF-2751-2023</t>
  </si>
  <si>
    <t>Liao, Yuxuan/0000-0003-3243-0227</t>
  </si>
  <si>
    <t>National Science Foundation (NSF) Future Eco Manufacturing Research Grant (FMRG) [CMMI-2037097]; DMR/POL program [DMR-2104841]; Department of Energy [DE-EE0009103]; NSF Materials Research Science and Engineering Center at the University of Pennsylvania [DMR-2309043]; NSF National Nano-technology Coordinated Infrastructure Program [NNCI-2025608]; Vagelos Institute Postdoctoral Fellowship by Vagelos Institute for Energy Science and Technology (VIEST) at the University of Pennsylvania; Tokyo Tech Academy for Convergence of Materials and Informatics (TAC-MI) scholarship</t>
  </si>
  <si>
    <t>National Science Foundation (NSF) Future Eco Manufacturing Research Grant (FMRG)(National Science Foundation (NSF)); DMR/POL program; Department of Energy(United States Department of Energy (DOE)); NSF Materials Research Science and Engineering Center at the University of Pennsylvania; NSF National Nano-technology Coordinated Infrastructure Program; Vagelos Institute Postdoctoral Fellowship by Vagelos Institute for Energy Science and Technology (VIEST) at the University of Pennsylvania; Tokyo Tech Academy for Convergence of Materials and Informatics (TAC-MI) scholarship</t>
  </si>
  <si>
    <t>This research is supported by the National Science Foundation (NSF) Future Eco Manufacturing Research Grant (FMRG, #CMMI-2037097, to S.Y.) , the DMR/POL program (#DMR-2104841, to S.Y.) , and Department of Energy under award #DE-EE0009103 (to Y.Z.) . We acknowledge the use of SEM instruments and the Dual Source and Environmental X-ray Scattering facility supported by NSF Materials Research Science and Engineering Center (DMR-2309043) at the University of Pennsylvania. This work was carried out in part at the Singh Center for Nanotechnology, which is supported by the NSF National Nano-technology Coordinated Infrastructure Program under grant #NNCI-2025608. K.-Y.W. acknowledges the support from Vagelos Institute Postdoctoral Fellowship by Vagelos Institute for Energy Science and Technology (VIEST) at the University of Pennsylvania. Z.L. acknowledges Tokyo Tech Academy for Convergence of Materials and Informatics (TAC-MI) scholarship.</t>
  </si>
  <si>
    <t>2590-2393</t>
  </si>
  <si>
    <t>2590-2385</t>
  </si>
  <si>
    <t>MATTER-US</t>
  </si>
  <si>
    <t>Matter</t>
  </si>
  <si>
    <t>FEB 4</t>
  </si>
  <si>
    <t>10.1016/j.matt.2025.102495</t>
  </si>
  <si>
    <t>DI9KI</t>
  </si>
  <si>
    <t>WOS:001684518800001</t>
  </si>
  <si>
    <t>Dong, RQ; Kim, NK; Osuji, CO</t>
  </si>
  <si>
    <t>Dong, Ruiqi; Kim, Na Kyung; Osuji, Chinedum O.</t>
  </si>
  <si>
    <t>Structure and transport properties of self-assembled nanofiltration membranes based on sustainably derived materials</t>
  </si>
  <si>
    <t>self -assembly; nanofiltration; liquid crystal membrane; thin film; sustainable materials</t>
  </si>
  <si>
    <t>POLYMER MEMBRANES; THIN-FILMS; SELECTIVITY; SIZE; PERMEABILITY</t>
  </si>
  <si>
    <t>The development of functional polymers using sustainable resources is an increasingly important pursuit. Unsaturated fatty acids represent a potentially interesting class of renewable materials for this purpose. Their unsaturated carbon bonds permit crosslinking to form solid polymers. Additionally, their carboxylic acid functional groups provide for the display of specific surface chemistry within the resulting polymers, and also enable chemical derivatization. Here, we explore the fabrication of nanometer-scale size -selective membranes using conjugated linoleic acid derived monomers. Potassium salt conjugated linoleic acid surfactants (KCLA) self -assembled to form hexagonally packed cylinders (H-I) in an aqueous medium containing glycerol. This structure provides a highly ordered medium with aqueous -continuous channels for nanofiltration. The HI mesophase was crosslinked with the addition of bifunctional comonomers and the ordered structure was retained with good fidelity in the resulting thin polymer films (&lt; 400 nm thick). These film function effectively as nanofiltration membranes, with a size cut-off of approximately 1.2 nm for charged solutes, while maintaining a high permeance of similar to 9 LMH/bar. This performance is on par with several commercial nanofiltration membranes and these materials are therefore of potential interest for advancing sustainability concerns in practical nanofiltration applications.</t>
  </si>
  <si>
    <t>[Dong, Ruiqi; Kim, Na Kyung; Osuji, Chinedum O.] Univ Penn, Dept Chem &amp; Biomol Engn, Philadelphia, PA 19104 USA</t>
  </si>
  <si>
    <t>Dong, Ruiqi/JBS-2383-2023; Kim, Na Kyung/IQS-1278-2023</t>
  </si>
  <si>
    <t>Dong, Ruiqi/0000-0002-6931-4118;</t>
  </si>
  <si>
    <t>NSF through CBET award [2010890, DMR 2223705]; NSF NNCI program [2025608]; NSF MRI [W911NF-17-1-0282]; ARO DURIP grant [DMR 2309043]; University of Pennsylvania; NSF; [1725969]</t>
  </si>
  <si>
    <t>NSF through CBET award; NSF NNCI program(National Science Foundation (NSF)NSF - Office of the Director (OD)); NSF MRI(National Science Foundation (NSF)NSF - Office of the Director (OD)); ARO DURIP grant; University of Pennsylvania; NSF(National Science Foundation (NSF));</t>
  </si>
  <si>
    <t>This work was supported by NSF through CBET award 2010890 . C. O. acknowledges additional support through DMR 2223705 . Work was carried out in part at the Singh Center for Nanotechnology which is supported by the NSF NNCI program under grant 2025608 , and at the Dual Source and Environmental X-ray scattering facility operated by the Laboratory for Research on the Structure of Matter at the University of Pennsylvania (NSF DMR 2309043) . The equipment purchase was made possible by NSF MRI grant (1725969) , ARO DURIP grant (W911NF-17-1-0282) , and the University of Pennsylvania.</t>
  </si>
  <si>
    <t>10.1016/j.giant.2023.100235</t>
  </si>
  <si>
    <t>IC1P3</t>
  </si>
  <si>
    <t>WOS:001164035700001</t>
  </si>
  <si>
    <t>Ding, LJ; Chen, YH; Do, C</t>
  </si>
  <si>
    <t>Ding, Lijie; Chen, Yihao; Do, Changwoo</t>
  </si>
  <si>
    <t>Machine-learning-informed scattering correlation analysis of sheared colloids</t>
  </si>
  <si>
    <t>JOURNAL OF APPLIED CRYSTALLOGRAPHY</t>
  </si>
  <si>
    <t>small-angle scattering; machine learning; Gaussian process regression; Monte Carlo simulations; colloids</t>
  </si>
  <si>
    <t>RELAXATION</t>
  </si>
  <si>
    <t>We have carried out theoretical analysis, Monte Carlo simulations and machine-learning analysis to quantify microscopic rearrangements of dilute dispersions of spherical colloidal particles from coherent scattering intensity. Both monodisperse and polydisperse dispersions of colloids were created and underwent a rearrangement consisting of an affine simple shear and non-affine rearrangement using the Monte Carlo method. We calculated the coherent scattering intensity of the dispersions and the correlation function of intensity before and after the rearrangement and generated a large data set of angular correlation functions for varying system parameters, including number density, polydispersity, shear strain and non-affine rearrangement. Singular value decomposition of the data set shows the feasibility of machine-learning inversion from the correlation function for the polydispersity, shear strain and non-affine rearrangement using only three parameters. A Gaussian process regressor is then trained on the data set and can retrieve the affine shear strain, non-affine rearrangement and polydispersity with relative errors of 3%, 1% and 6%, respectively. Altogether, our model provides a framework for quantitative studies of both steady and non-steady microscopic dynamics of colloidal dispersions using coherent scattering methods.</t>
  </si>
  <si>
    <t>[Ding, Lijie; Do, Changwoo] Oak Ridge Natl Lab, Neutron Scattering Div, Oak Ridge, TN 37831 USA; [Chen, Yihao] Univ Penn, Dept Phys &amp; Astron, Philadelphia, PA 19104 USA</t>
  </si>
  <si>
    <t>United States Department of Energy (DOE); Oak Ridge National Laboratory; University of Pennsylvania</t>
  </si>
  <si>
    <t>Do, Changwoo/ABG-6709-2020; Chen, Yihao/HKV-3310-2023</t>
  </si>
  <si>
    <t>Do, Changwoo/0000-0001-8358-8417; Chen, Yihao/0000-0002-9956-5719; Ding, Lijie/0000-0002-2745-4606</t>
  </si>
  <si>
    <t>Laboratory Directed Research and Development Program of ORNL; US DOE Office of Science, Office of Basic Energy Sciences Data, Artificial Intelligence and Machine Learning at DOE Scientific User Facilities Program [34532]; US DOE Office of Science [DE-AC05-00OR22725]; Office of Science of the US Department of Energy [DE-AC02-05CH11231]; National Science Foundation (NSF) [DMR-2003659]; NSF Penn Materials Research Science and Engineering Center [DMR-2309043]</t>
  </si>
  <si>
    <t>Laboratory Directed Research and Development Program of ORNL; US DOE Office of Science, Office of Basic Energy Sciences Data, Artificial Intelligence and Machine Learning at DOE Scientific User Facilities Program(United States Department of Energy (DOE)); US DOE Office of Science(United States Department of Energy (DOE)); Office of Science of the US Department of Energy(United States Department of Energy (DOE)); National Science Foundation (NSF)(National Science Foundation (NSF)); NSF Penn Materials Research Science and Engineering Center</t>
  </si>
  <si>
    <t>This research was performed at the Spallation Neutron Source, which is a US Department of Energy (DOE) Office of Science User Facility operated by Oak Ridge National Laboratory (ORNL). This research was sponsored by the Laboratory Directed Research and Development Program of ORNL, managed by UT-Battelle, LLC, for the US DOE. The ML aspects were supported by by the US DOE Office of Science, Office of Basic Energy Sciences Data, Artificial Intelligence and Machine Learning at DOE Scientific User Facilities Program (award No. 34532). Monte Carlo simulations and computations used resources of the Oak Ridge Leadership Computing Facility, which is supported by the US DOE Office of Science (contract No. DE-AC05-00OR22725), and resources of the National Energy Research Scientific Computing Center, which is supported by the Office of Science of the US Department of Energy under contract No. DE-AC02-05CH11231. YC acknowledges support by the National Science Foundation (NSF) (grant No. DMR-2003659) and by the NSF Penn Materials Research Science and Engineering Center (grant No. DMR-2309043).</t>
  </si>
  <si>
    <t>INT UNION CRYSTALLOGRAPHY</t>
  </si>
  <si>
    <t>CHESTER</t>
  </si>
  <si>
    <t>2 ABBEY SQ, CHESTER, CH1 2HU, ENGLAND</t>
  </si>
  <si>
    <t>1600-5767</t>
  </si>
  <si>
    <t>J APPL CRYSTALLOGR</t>
  </si>
  <si>
    <t>J. Appl. Crystallogr.</t>
  </si>
  <si>
    <t>10.1107/S1600576725003280</t>
  </si>
  <si>
    <t>Chemistry, Multidisciplinary; Crystallography</t>
  </si>
  <si>
    <t>Chemistry; Crystallography</t>
  </si>
  <si>
    <t>3PW2V</t>
  </si>
  <si>
    <t>WOS:001506164800030</t>
  </si>
  <si>
    <t>Luo, P; Wolf, SE; Govind, S; Stephens, RB; Kim, DH; Chen, CY; Nguyen, T; Wasik, P; Zhernenkov, M; Mcclimon, B; Fakhraai, Z</t>
  </si>
  <si>
    <t>Luo, Peng; Wolf, Sarah E.; Govind, Shivajee; Stephens, Richard B.; Kim, Dong Hyup; Chen, Cindy Y.; Nguyen, Truc; Wasik, Patryk; Zhernenkov, Mikhail; Mcclimon, Brandon; Fakhraai, Zahra</t>
  </si>
  <si>
    <t>High-density stable glasses formed on soft substrates</t>
  </si>
  <si>
    <t>NATURE MATERIALS</t>
  </si>
  <si>
    <t>ULTRASTABLE GLASSES; SURFACE DYNAMICS; VAPOR-DEPOSITION; POLYSTYRENE; MOBILITY; PDMS; POLYDIMETHYLSILOXANE; TEMPERATURE</t>
  </si>
  <si>
    <t>Enabled by surface-mediated equilibration, physical vapour deposition can create high-density stable glasses comparable with liquid-quenched glasses aged for millions of years. Deposition is often performed at various rates and temperatures on rigid substrates to control the glass properties. Here we demonstrate that on soft, rubbery substrates, surface-mediated equilibration is enhanced up to 170 nm away from the interface, forming stable glasses with densities up to 2.5% higher than liquid-quenched glasses within 2.5 h of deposition. Gaining similar properties on rigid substrates would require 10 million times slower deposition, taking similar to 3,000 years. Controlling the modulus of the rubbery substrate provides control over the glass structure and density at constant deposition conditions. These results underscore the significance of substrate elasticity in manipulating the properties of the mobile surface layer and thus the glass structure and properties, allowing access to deeper states of the energy landscape without prohibitively slow deposition rates.</t>
  </si>
  <si>
    <t>[Luo, Peng; Govind, Shivajee; Stephens, Richard B.; Kim, Dong Hyup; Chen, Cindy Y.; Nguyen, Truc; Fakhraai, Zahra] Univ Penn, Dept Chem, Philadelphia, PA 19104 USA; [Wolf, Sarah E.] State Univ New York Cortland, Dept Chem, Cortland, NY USA; [Kim, Dong Hyup] Seoul Natl Univ, Sch Chem &amp; Biol Engn, Seoul, South Korea; [Wasik, Patryk; Zhernenkov, Mikhail] Brookhaven Natl Lab, Natl Synchrotron Light Source NSLS II 2, Upton, NY USA; [Mcclimon, Brandon] Univ Penn, Dept Mech Engn &amp; Appl Mech, Philadelphia, PA USA</t>
  </si>
  <si>
    <t>University of Pennsylvania; State University of New York (SUNY) System; SUNY Cortland; Seoul National University (SNU); United States Department of Energy (DOE); Brookhaven National Laboratory; University of Pennsylvania</t>
  </si>
  <si>
    <t>; Stephens, Richard/D-3840-2017; Kim, Donghyup/AAO-7254-2020; Luo, Peng/AAV-6018-2020</t>
  </si>
  <si>
    <t>Wasik, Patryk/0000-0002-7447-7472; Stephens, Richard/0000-0002-7034-6141; Chen, Cindy/0000-0001-7401-3638; Zhernenkov, Mikhail/0000-0003-3604-0672; Wolf, Sarah/0000-0001-7695-7923; Kim, Donghyup/0000-0003-3866-1878; Luo, Peng/0000-0003-4280-4990; Govind, Shivajee/0000-0003-2356-4063</t>
  </si>
  <si>
    <t>National Science Foundation (NSF) [DMR-1720530]; National Science Foundation (NSF) Materials Research Science and Engineering Centers (MRSEC) [DMR-2309000]; Wisconsin MRSEC grant [DMR-2309043]; NSF [DE-SC0012704]; DOE Office of Science by Brookhaven National Laboratory; School of Arts and Sciences of the University of Pennsylvania [DGE-1845298]; NSF Graduate Research Fellowship Program (NSF GRFP)</t>
  </si>
  <si>
    <t>National Science Foundation (NSF)(National Science Foundation (NSF)); National Science Foundation (NSF) Materials Research Science and Engineering Centers (MRSEC)(National Science Foundation (NSF)); Wisconsin MRSEC grant; NSF(National Science Foundation (NSF)); DOE Office of Science by Brookhaven National Laboratory(United States Department of Energy (DOE)); School of Arts and Sciences of the University of Pennsylvania; NSF Graduate Research Fellowship Program (NSF GRFP)(National Science Foundation (NSF)NSF - Office of the Director (OD))</t>
  </si>
  <si>
    <t>We thank M. D. Ediger for insightful discussions. We acknowledge financial support from the National Science Foundation (NSF) Materials Research Science and Engineering Centers (MRSEC) under grant DMR-1720530. Support during manuscript revisions and final editing was provided by Wisconsin MRSEC grant DMR-2309000. We acknowledge the use of the Dual Source and Environmental X-ray Scattering facility operated by the Laboratory for Research on the Structure of Matter at the University of Pennsylvania supported by NSF through DMR-2309043. This research used the 12-ID (SMI) beamline of the National Synchrotron Light Source II, a US Department of Energy (DOE) Office of Science User Facility, operated for the DOE Office of Science by Brookhaven National Laboratory under contract no. DE-SC0012704. P.L. acknowledges postdoctoral fellowship funding from the School of Arts and Sciences of the University of Pennsylvania. C.Y.C. acknowledges support from the NSF Graduate Research Fellowship Program (NSF GRFP, DGE-1845298).</t>
  </si>
  <si>
    <t>1476-1122</t>
  </si>
  <si>
    <t>1476-4660</t>
  </si>
  <si>
    <t>NAT MATER</t>
  </si>
  <si>
    <t>Nat. Mater.</t>
  </si>
  <si>
    <t>10.1038/s41563-024-01828-w</t>
  </si>
  <si>
    <t>Chemistry, Physical; Materials Science, Multidisciplinary; Physics, Applied; Physics, Condensed Matter</t>
  </si>
  <si>
    <t>Chemistry; Materials Science; Physics</t>
  </si>
  <si>
    <t>UV8O7</t>
  </si>
  <si>
    <t>WOS:001177508400004</t>
  </si>
  <si>
    <t>Martínez-Calvo, A; Biviano, MD; Christensen, AH; Katifori, E; Jensen, KH; Ruiz-García, M</t>
  </si>
  <si>
    <t>Martinez-Calvo, Alejandro; Biviano, Matthew D.; Christensen, Anneline H.; Katifori, Eleni; Jensen, Kaare H.; Ruiz-Garcia, Miguel</t>
  </si>
  <si>
    <t>The fluidic memristor as a collective phenomenon in elastohydrodynamic networks</t>
  </si>
  <si>
    <t>BORDERED PITS; FLOW; OSCILLATIONS; HYSTERESIS; CAVITATION; RESISTANCE; DYNAMICS; PATTERNS; SYSTEMS; MODEL</t>
  </si>
  <si>
    <t>Fluid flow networks are ubiquitous and can be found in a broad range of contexts, from human-made systems such as water supply networks to living systems like animal and plant vasculature. In many cases, the elements forming these networks exhibit a highly non-linear pressure-flow relationship. Although we understand how these elements work individually, their collective behavior remains poorly understood. In this work, we combine experiments, theory, and numerical simulations to understand the main mechanisms underlying the collective behavior of soft flow networks with elements that exhibit negative differential resistance. Strikingly, our theoretical analysis and experiments reveal that a minimal network of nonlinear resistors, which we have termed a 'fluidic memristor', displays history-dependent resistance. This new class of element can be understood as a collection of hysteresis loops that allows this fluidic system to store information, and it can be directly used as a tunable resistor in fluidic setups. Our results provide insights that can inform other applications of fluid flow networks in soft materials science, biomedical settings, and soft robotics, and may also motivate new understanding of the flow networks involved in animal and plant physiology. Collective behavior of nonlinear soft valves forming fluid flow networks is not well understood. The authors reveal the mechanisms underlying the collective behavior of soft flow networks with negative differential resistance elements.</t>
  </si>
  <si>
    <t>[Martinez-Calvo, Alejandro] Princeton Univ, Princeton Ctr Theoret Sci, Princeton, NJ 08544 USA; [Martinez-Calvo, Alejandro] Princeton Univ, Dept Chem &amp; Biol Engn, Princeton, NJ USA; [Biviano, Matthew D.; Christensen, Anneline H.; Jensen, Kaare H.] Tech Univ Denmark, Dept Phys, DK-2800 Lyngby, Denmark; [Katifori, Eleni] Univ Penn, Dept Phys &amp; Astron, Philadelphia, PA 19104 USA; [Katifori, Eleni] Flatiron Inst, Ctr Computat Biol, New York, NY 10010 USA; [Ruiz-Garcia, Miguel] Univ Complutense Madrid, Dept Estruct Mat Fis Term &amp; Elect, Madrid 28040, Spain; [Ruiz-Garcia, Miguel] Univ Complutense Madrid, GISC Grp Interdisciplinar Sistemas Complejos, Madrid 28040, Spain; [Ruiz-Garcia, Miguel] Univ Carlos III Madrid, Dept Math, Leganes 28911, Spain</t>
  </si>
  <si>
    <t>Princeton University; Princeton University; Technical University of Denmark; University of Pennsylvania; Simons Foundation; Flatiron Institute; Complutense University of Madrid; Complutense University of Madrid; Universidad Carlos III de Madrid</t>
  </si>
  <si>
    <t>Ruiz-García, M (corresponding author), Univ Complutense Madrid, Dept Estruct Mat Fis Term &amp; Elect, Madrid 28040, Spain.;Ruiz-García, M (corresponding author), Univ Complutense Madrid, GISC Grp Interdisciplinar Sistemas Complejos, Madrid 28040, Spain.;Ruiz-García, M (corresponding author), Univ Carlos III Madrid, Dept Math, Leganes 28911, Spain.</t>
  </si>
  <si>
    <t>Martinez Calvo, Alejandro/HPD-4822-2023; Jensen, Kaare/G-9433-2014</t>
  </si>
  <si>
    <t>Martinez Calvo, Alejandro/0000-0002-2109-8145; Christensen, Anneline Hegelund/0000-0001-7091-9010; Biviano, Matthew/0000-0001-5101-2771; Katifori, Eleni/0000-0002-7332-4749</t>
  </si>
  <si>
    <t>Princeton Center for Theoretical Science and the Human Frontier Science Program [LT000035/2021-C]; Ramon y Cajal program [RYC2021-032055-I]; Universidad Carlos III de Madrid; European Union [801538]; UPenn MRSEC [DMR-2309043]; Simons Foundation [568888]</t>
  </si>
  <si>
    <t>Princeton Center for Theoretical Science and the Human Frontier Science Program; Ramon y Cajal program(Spanish Government); Universidad Carlos III de Madrid; European Union(European Union (EU)); UPenn MRSEC; Simons Foundation(Simons Foundation)</t>
  </si>
  <si>
    <t>A.M.-C. acknowledges support from the Princeton Center for Theoretical Science and the Human Frontier Science Program through the grant LT000035/2021-C. M.R.-G. acknowledges support from the Ramon y Cajal program RYC2021-032055-I and from the CONEX-Plus program funded by Universidad Carlos III de Madrid and the European Union's Horizon 2020 research and innovation program under the Marie Sklodowska-Curie grant agreement No. 801538. E.K. acknowledges support from the UPenn MRSEC DMR-2309043, and the Simons Foundation through Investigator grant #568888.</t>
  </si>
  <si>
    <t>APR 10</t>
  </si>
  <si>
    <t>10.1038/s41467-024-47110-0</t>
  </si>
  <si>
    <t>NS3R1</t>
  </si>
  <si>
    <t>WOS:001202408400025</t>
  </si>
  <si>
    <t>Wang, TC; Xiao, YZ; King, JL; Kats, MA; Stebe, KJ; Lee, D</t>
  </si>
  <si>
    <t>Wang, Tiancheng; Xiao, Yuzhe; King, Jonathan L.; Kats, Mikhail A.; Stebe, Kathleen J.; Lee, Daeyeon</t>
  </si>
  <si>
    <t>Bioinspired Switchable Passive Daytime Radiative Cooling Coatings</t>
  </si>
  <si>
    <t>spinodal decomposition; porous materials; disorderedstructure; bijels</t>
  </si>
  <si>
    <t>FILMS</t>
  </si>
  <si>
    <t>Passive daytime radiative cooling (PDRC) relies on simultaneous reflection of sunlight and radiation toward cold outer space. Current designs of PDRC coatings have demonstrated potential as eco-friendly alternatives to traditional electrical air conditioning (AC). While many features of PDRC have been individually optimized in different studies, for practical impact, it is essential for a system to demonstrate excellence in all essential aspects, like the materials that nature has created. We propose a bioinspired PDRC structure templated by bicontinuous interfacially jammed emulsion gels (bijels) that possesses excellent cooling, thinness, tunability, scalability, and mechanical robustness. The unique bicontinuous disordered structure captures key features of Cyphochilus beetle scales, enabling a thin (130 mu m) bijel PDRC coating to achieve high solar reflectance (greater than or similar to 0.97) and high longwave-infrared (LWIR) emissivity (greater than or similar to 0.93), resulting in a subambient temperature drop of similar to 5.6 degrees C under direct sunlight. We further demonstrate switchable cooling inspired by the exoskeleton of the Hercules beetle and mechanical robustness in analogy to spongy bone structures.</t>
  </si>
  <si>
    <t>[Wang, Tiancheng; Stebe, Kathleen J.; Lee, Daeyeon] Univ Penn, Dept Chem &amp; Biomol Engn, Philadelphia, PA 19104 USA; [Xiao, Yuzhe; King, Jonathan L.; Kats, Mikhail A.] Univ Wisconsin, Dept Mat Sci &amp; Engn, Dept Elect &amp; Comp Engn, Madison, WI 53706 USA; [Xiao, Yuzhe; King, Jonathan L.; Kats, Mikhail A.] Univ Wisconsin Madison, Dept Phys, Madison, WI 53706 USA; [Xiao, Yuzhe] Univ North Texas, Dept Phys, Denton, TX 76203 USA</t>
  </si>
  <si>
    <t>University of Pennsylvania; University of Wisconsin System; University of Wisconsin Madison; University of Wisconsin System; University of Wisconsin Madison; University of North Texas System; University of North Texas Denton</t>
  </si>
  <si>
    <t>Stebe, KJ; Lee, D (corresponding author), Univ Penn, Dept Chem &amp; Biomol Engn, Philadelphia, PA 19104 USA.</t>
  </si>
  <si>
    <t>Kats, Mikhail/G-6022-2011; Xiao, Yuzhe/J-5615-2016</t>
  </si>
  <si>
    <t>Kats, Mikhail/0000-0003-4897-4720; Xiao, Yuzhe/0000-0002-0971-2480; King, Jonathan/0000-0002-3679-5488; Stebe, Kathleen/0000-0003-0510-0513</t>
  </si>
  <si>
    <t>Penn MRSEC through NSF [DMR 1720530, DMR 2309043]; NSF [CBET 1945841, 1750341]; National Science Foundation [NNCI-1542153]; NSF through the University of Pennsylvania Materials Research Science and Engineering Center (MRSEC) [DMR 2309043, DMR-1720530]</t>
  </si>
  <si>
    <t>Penn MRSEC through NSF; NSF(National Science Foundation (NSF)); National Science Foundation(National Science Foundation (NSF)); NSF through the University of Pennsylvania Materials Research Science and Engineering Center (MRSEC)(National Science Foundation (NSF))</t>
  </si>
  <si>
    <t>The authors acknowledge financial support from Penn MRSEC through NSF (NSF DMR 1720530 and DMR 2309043) and from NSF CBET 1945841. M.A.K. acknowledges support from the NSF (1750341). The authors thank Prof. Robert A. Riggleman for help in FFT analysis. This work was performed in part at the Singh Centerfor Nanotechnology at the University of Pennsylvania, a member of the National Nanotechnology Coordinated Infrastructure (NNCI) network, which is supported by the National Science Foundation (Grant No. NNCI-1542153). The electron microscopy facilities are supported by NSF through the University of Pennsylvania Materials Research Science and Engineering Center (MRSEC) (DMR-1720530 and DMR 2309043).</t>
  </si>
  <si>
    <t>OCT 9</t>
  </si>
  <si>
    <t>10.1021/acsami.3c11338</t>
  </si>
  <si>
    <t>OCT 2023</t>
  </si>
  <si>
    <t>U5TR0</t>
  </si>
  <si>
    <t>WOS:001082564500001</t>
  </si>
  <si>
    <t>Li, SS; Wang, YC; Liu, ZX; Chen, BH; Liu, MZ; He, XM; Yang, S</t>
  </si>
  <si>
    <t>Li, Shangsong; Wang, Yuchen; Liu, Zixiao; Chen, Baohong; Liu, Mingzhu; He, Ximin; Yang, Shu</t>
  </si>
  <si>
    <t>Flexible pyroelectric energy harvesters from nanocomposites of liquid crystal elastomers/lead zirconate titanate nanoparticles</t>
  </si>
  <si>
    <t>SCIENCE ADVANCES</t>
  </si>
  <si>
    <t>PIEZOELECTRIC PROPERTIES; THERMAL-ENERGY; NANOGENERATORS; DEVICES</t>
  </si>
  <si>
    <t>Pyroelectric materials that can generate electric charges when subjected to temperature changes are of interest for renewable energy. However, current flexible pyroelectric energy harvesters suffer from low output. Here, we present a nanocomposite of liquid crystalline elastomer (LCE) and pyroelectric lead zirconate titanate (PZT) nanoparticles and demonstrate a flexible heat harvesting device with high output. The overall pyroelectricity is enhanced by the secondary pyroelectricity generated from the thermal stress imposed on the LCE. Calculations and simulations corroborate with experiments, suggesting that the monodomain LCE/PZT with fixed boundaries offers the most enhancement. At a maximum heating rate of 0.20 kelvin per second, the fixed monodomain film (42.7 weight % PZT) shows an output current of 2.81 nanoamperes and a voltage of 6.23 volts, corresponding to a pyroelectric coefficient p of -4.01 nanocoulombs per square centimeter per kelvin, 49% higher than that of the widely used polyvinylidene fluoride. Our energy harvester can charge capacitors and power electronic devices such as light-emitting diodes.</t>
  </si>
  <si>
    <t>[Li, Shangsong; Wang, Yuchen; Chen, Baohong; Liu, Mingzhu; Yang, Shu] Univ Penn, Dept Mat Sci &amp; Engn, 3231 Walnut St, Philadelphia, PA 19104 USA; [Liu, Zixiao; He, Ximin] Univ Calif Los Angeles, Dept Mat Sci &amp; Engn, 410 Westwood Plaza, Los Angeles, CA 90095 USA</t>
  </si>
  <si>
    <t>University of Pennsylvania; University of California System; University of California Los Angeles</t>
  </si>
  <si>
    <t>Chen, Baohong/IZQ-5400-2023; He, Ximin/D-3533-2017; Yang, Shu/D-9758-2011; Wang, Yuchen/W-2774-2018; Liu, Mingzhu/HTP-3779-2023; Liu, Zixiao/ABB-9382-2021</t>
  </si>
  <si>
    <t>Chen, Baohong/0000-0002-6319-7205; He, Ximin/0000-0001-8845-4637; Yang, Shu/0000-0001-8834-3320; Wang, Yuchen/0000-0002-6710-6710; Liu, Mingzhu/0000-0003-2973-5361; Liu, Zixiao/0000-0003-1161-1803; Li, Shangsong/0000-0003-4660-3117</t>
  </si>
  <si>
    <t>National Science Foundation (NSF) Future Eco Manufacturing Research Grant [CMMI 2037097]; DMR/POL program [DMR-2104841]; Materials Research Science and Engineering Center [DMR-2309043]; American Chemical Society [66747-ND7]; Johnson Johnson [20231448]; Office of Naval Research (ONR) [N000142412187, N000142212595]</t>
  </si>
  <si>
    <t>National Science Foundation (NSF) Future Eco Manufacturing Research Grant(National Science Foundation (NSF)); DMR/POL program; Materials Research Science and Engineering Center(National Science Foundation (NSF)); American Chemical Society(American Chemical Society); Johnson Johnson(Johnson &amp; JohnsonJohnson &amp; Johnson USA); Office of Naval Research (ONR)(United States Department of DefenseUnited States NavyOffice of Naval Research)</t>
  </si>
  <si>
    <t>This work was supported by the following: National Science Foundation (NSF) Future Eco Manufacturing Research Grant (FMRG; no. CMMI 2037097 to S.Y.), DMR/POL program (no. DMR-2104841 to S.Y.), Materials Research Science and Engineering Center (DMR-2309043 to S.Y.), American Chemical Society (no. 66747-ND7 to X.H.), Johnson &amp; Johnson (no. 20231448 to X.H.), and Office of Naval Research (ONR) (nos. N000142412187 and N000142212595 to X.H.)</t>
  </si>
  <si>
    <t>AMER ASSOC ADVANCEMENT SCIENCE</t>
  </si>
  <si>
    <t>1200 NEW YORK AVE, NW, WASHINGTON, DC 20005 USA</t>
  </si>
  <si>
    <t>2375-2548</t>
  </si>
  <si>
    <t>SCI ADV</t>
  </si>
  <si>
    <t>Sci. Adv.</t>
  </si>
  <si>
    <t>FEB 12</t>
  </si>
  <si>
    <t>eadt6136</t>
  </si>
  <si>
    <t>10.1126/sciadv.adt6136</t>
  </si>
  <si>
    <t>W7E7U</t>
  </si>
  <si>
    <t>WOS:001420167400024</t>
  </si>
  <si>
    <t>Hathcock, D; Dillavou, S; Hanlan, JM; Durian, DJ; Tu, YH</t>
  </si>
  <si>
    <t>Hathcock, David; Dillavou, Sam; Hanlan, Jesse M.; Durian, Douglas J.; Tu, Yuhai</t>
  </si>
  <si>
    <t>Stochastic dynamics of granular hopper flows: A configurational mode controls the stability of clogs</t>
  </si>
  <si>
    <t>PHYSICAL REVIEW E</t>
  </si>
  <si>
    <t>SYSTEMS</t>
  </si>
  <si>
    <t>Granular flows in small-outlet hoppers exhibit several characteristic but poorly understood behaviors: temporary clogs (pauses) where flow stops before later spontaneously restarting, permanent clogs that last indefinitely, and non-Gaussian, nonmonotonic flow-rate statistics. These aspects have been studied independently, but a model of hopper flow that explains all three has not been formulated. Here, we introduce a phenomenological model that provides a unifying dynamical mechanism for all three behaviors: coupling between the flow rate and a hidden mode that controls the stability of clogs. In the theory, flow rate evolves according to Langevin dynamics with multiplicative noise and an absorbing state at zero flow, conditional on the hidden mode. The model fully reproduces the statistics of pause and clog events of a large (&gt;40 000 flows) experimental dataset, including nonexponentially distributed clogging times and non-Gaussian flow rate distribution, and explains the stretched-exponential growth of the average clogging time with outlet size. Further, we identify the physical nature of the hidden mode in microscopic configurational features, including size and smoothness of the static arch structure formed during pauses and clogs. Our work provides a unifying framework for several poorly understood clogging phenomena, and suggests numerous new paths toward further understanding of this complex system.</t>
  </si>
  <si>
    <t>[Hathcock, David; Tu, Yuhai] IBM T J Watson Res Ctr, Yorktown Hts, NY 10598 USA; [Dillavou, Sam; Hanlan, Jesse M.; Durian, Douglas J.] Univ Penn, Dept Phys &amp; Astron, Philadelphia, PA 19104 USA</t>
  </si>
  <si>
    <t>International Business Machines (IBM); IBM USA; University of Pennsylvania</t>
  </si>
  <si>
    <t>Hathcock, D (corresponding author), IBM T J Watson Res Ctr, Yorktown Hts, NY 10598 USA.;Dillavou, S (corresponding author), Univ Penn, Dept Phys &amp; Astron, Philadelphia, PA 19104 USA.</t>
  </si>
  <si>
    <t>; Hathcock, David/JMR-3325-2023; Durian, Douglas/D-7013-2012</t>
  </si>
  <si>
    <t>Dillavou, Sam/0000-0001-9842-9582; Hanlan, Jesse/0000-0001-8214-5606; Hathcock, David/0000-0003-4551-9239; Durian, Douglas/0000-0003-3240-2381</t>
  </si>
  <si>
    <t>NSF [PHY-2210452, MRSEC/DMR-1720530, MRSEC/DMR-2309043]; CCB at the Flatiron Institute, a division of the Simons Foundation; Isaac Newton Institute for Mathematical Sciences (EPSRC) [EP/R014601/1]; University of Pennsylvania School of Arts and Sciences Data Driven Discovery Initiative</t>
  </si>
  <si>
    <t>NSF(National Science Foundation (NSF)); CCB at the Flatiron Institute, a division of the Simons Foundation(Simons Foundation); Isaac Newton Institute for Mathematical Sciences (EPSRC)(UK Research &amp; Innovation (UKRI)Engineering &amp; Physical Sciences Research Council (EPSRC)); University of Pennsylvania School of Arts and Sciences Data Driven Discovery Initiative</t>
  </si>
  <si>
    <t>This work was partially supported by NSF Grants No. MRSEC/DMR-1720530 and No. MRSEC/DMR-2309043. D.J.D. and Y.T. thank the Aspen Center for Physics, which is supported by NSF Grant No. PHY-2210452. D.J.D. thanks CCB at the Flatiron Institute, a division of the Simons Foun-dation, as well as the Isaac Newton Institute for Mathematical Sciences under the program New Statistical Physics in Liv-ing Matter (EPSRC Grant No. EP/R014601/1) , for support and hospitality while a portion of this research was carried out. S.D. acknowledges support from the University of Pennsylvania School of Arts and Sciences Data Driven Discovery Initiative.</t>
  </si>
  <si>
    <t>2470-0045</t>
  </si>
  <si>
    <t>2470-0053</t>
  </si>
  <si>
    <t>PHYS REV E</t>
  </si>
  <si>
    <t>Phys. Rev. E</t>
  </si>
  <si>
    <t>L023404</t>
  </si>
  <si>
    <t>10.1103/PhysRevE.111.L023404</t>
  </si>
  <si>
    <t>Physics, Fluids &amp; Plasmas; Physics, Mathematical</t>
  </si>
  <si>
    <t>0NE0O</t>
  </si>
  <si>
    <t>WOS:001451345400003</t>
  </si>
  <si>
    <t>Serra-Maia, R; Varley, JB; Weitzner, SE; Yu, H; Shi, RP; Biener, J; Akhade, SA; Stach, EA</t>
  </si>
  <si>
    <t>Serra-Maia, Rui; Varley, Joel B.; Weitzner, Stephen E.; Yu, Henry; Shi, Rongpei; Biener, Jurgen; Akhade, Sneha A.; Stach, Eric A.</t>
  </si>
  <si>
    <t>Decoupling CO2 effects from electrochemistry: A mechanistic study of copper catalyst degradation</t>
  </si>
  <si>
    <t>ISCIENCE</t>
  </si>
  <si>
    <t>TRANSMISSION ELECTRON-MICROSCOPY; CARBON-DIOXIDE REDUCTION; ENERGY-LOSS SPECTROSCOPY; PITTING CORROSION; HYDROGEN EVOLUTION; SPATIAL-RESOLUTION; LIQUID CELL; CU; STABILITY; ETHYLENE</t>
  </si>
  <si>
    <t>Copper-based nanoparticles are key electrocatalysts for CO2 electrochemical reduction (CO2 ER) to liquid fuels and other value-added products. However, the copper catalyst can undergo rapid electrochemical corrosion, leading to a loss of catalyst material, fluctuations in the reaction conditions and increasing operational costs. We establish a mechanistic understanding of this detrimental process using in situ electrochemical electron microscopy and density functional theory (DFT). We find that copper corrosion can occur in the presence of CO2 in electroless conditions and before the onset potentials required for CO2 ER. The effects are isolated from pH changes resulting from dissolved CO2. Particles of corroded copper have oxidized surfaces, in contrast to copper surfaces exposed to CO2-free electrolytes. DFT calculations identify multiple routes by which CO2 can behave as a dissolution agent for copper and copper-oxide surfaces and suggest that formate-intermediates are a key driver of corrosion. This study highlights microenvironment-based factors that affect copper performance and degradation, facilitating strategies to inhibit and reverse copper degradation during CO2 ER.</t>
  </si>
  <si>
    <t>[Serra-Maia, Rui; Stach, Eric A.] Univ Penn, Dept Mat Sci &amp; Engn, Philadelphia, PA 19104 USA; [Varley, Joel B.; Weitzner, Stephen E.; Yu, Henry; Shi, Rongpei; Biener, Jurgen; Akhade, Sneha A.] Lawrence Livermore Natl Lab, Mat Sci Div, Livermore, CA 94550 USA; [Stach, Eric A.] Univ Penn, Lab Res Struct Matter, Philadelphia, PA 19104 USA</t>
  </si>
  <si>
    <t>University of Pennsylvania; United States Department of Energy (DOE); Lawrence Livermore National Laboratory; University of Pennsylvania</t>
  </si>
  <si>
    <t>Serra-Maia, R; Stach, EA (corresponding author), Univ Penn, Dept Mat Sci &amp; Engn, Philadelphia, PA 19104 USA.;Akhade, SA (corresponding author), Lawrence Livermore Natl Lab, Mat Sci Div, Livermore, CA 94550 USA.;Stach, EA (corresponding author), Univ Penn, Lab Res Struct Matter, Philadelphia, PA 19104 USA.</t>
  </si>
  <si>
    <t>rui.maia@inl.int; akhade1@llnl.gov; stach@seas.upenn.edu</t>
  </si>
  <si>
    <t>Stach, Eric/D-8545-2011; Shi, Rongpei/D-3959-2011; Akhade, Sneha/P-1065-2019; Weitzner, Stephen/MBH-6669-2025; Serra Maia, Rui/PMF-6601-2026; Varley, Joel/LKM-3629-2024</t>
  </si>
  <si>
    <t>Stach, Eric/0000-0002-3366-2153; Shi, Rongpei/0000-0002-5007-4249;</t>
  </si>
  <si>
    <t>U.S. Department of Energy by Lawrence Livermore National Laboratory [DE-AC52-07NA27344]; U.S. Department of Energy's Office of Energy Efficiency and Renewable Energy (EERE) under Advanced Manufacturing Office Next Generation RD Projects [DE-EE-0008327]; NSF National Nanotechnology Coordinated Infrastructure Program [NNCI-2025608]; U.S. National Science Foundation [DMR-1720530, DMR-2309043]</t>
  </si>
  <si>
    <t>U.S. Department of Energy by Lawrence Livermore National Laboratory(United States Department of Energy (DOE)); U.S. Department of Energy's Office of Energy Efficiency and Renewable Energy (EERE) under Advanced Manufacturing Office Next Generation RD Projects(United States Department of Energy (DOE)); NSF National Nanotechnology Coordinated Infrastructure Program; U.S. National Science Foundation(National Science Foundation (NSF))</t>
  </si>
  <si>
    <t>The work was partially performed under the auspices of the U.S. Department of Energy by Lawrence Livermore National Laboratory under contract DE-AC52-07NA27344, and supported by the U.S. Department of Energy's Office of Energy Efficiency and Renewable Energy (EERE) under Advanced Manufacturing Office Next Generation R&amp;D Projects award no. DE-EE-0008327. This work was carried out in part at the Singh Center for Nanotechnology at the University of Pennsylvania, which is supported by the NSF National Nanotechnology Coordinated Infrastructure Program under grant NNCI-2025608. Additional support to the Nanoscale Characterization Facility at the Singh Center has been provided by the Laboratory for Research on the Structure of Matter (MRSEC) supported by the U.S. National Science Foundation (DMR-1720530 and DMR-2309043) . R.S.-M. thanks Net4CO2 Collabora-tive Laboratory (Porto, Portugal) -a Portuguese incubation laboratory dedicated to developing CO2 capture and utilization and storage solutions-for supporting the costs of his trip and attendance to the Gordon Research Con-ference of Liquid Cell TEM 2022, where preliminary results of this study were presented, and valuable feedback was received.</t>
  </si>
  <si>
    <t>2589-0042</t>
  </si>
  <si>
    <t>iScience</t>
  </si>
  <si>
    <t>MAR 21</t>
  </si>
  <si>
    <t>10.1016/j.isci.2025.111851</t>
  </si>
  <si>
    <t>X9Z7O</t>
  </si>
  <si>
    <t>WOS:001428842700001</t>
  </si>
  <si>
    <t>Li, ZC; Ren, YF; Kemkar, S; Mollenkopf, P; Kochanowski, J; Janmey, PA; Purohit, PK; Radhakrishnan, R; Vining, KH</t>
  </si>
  <si>
    <t>Li, Zecheng; Ren, Yifei; Kemkar, Sharvari; Mollenkopf, Paul; Kochanowski, Jakub; Janmey, Paul A.; Purohit, Prashant K.; Radhakrishnan, Ravi; Vining, Kyle H.</t>
  </si>
  <si>
    <t>Modeling tumor transport and growth with poroelastic biopolymer networks</t>
  </si>
  <si>
    <t>SOLID STRESS; INTERSTITIAL TRANSPORT; MECHANICAL FORCES; CELL MIGRATION; FLUID; MACROMOLECULES; DIFFUSION; MICROENVIRONMENT; VISCOELASTICITY; PROGRESSION</t>
  </si>
  <si>
    <t>The mechanical properties of the extracellular matrix (ECM) regulate tumor growth and invasion in the tumor microenvironment. Models of biopolymer networks have been used to investigate the impact of elasticity and viscoelasticity of the ECM on tumor behavior. Under tumor compression, these networks also show poroelastic behavior that is governed by the resistance to water flow through their pores. This work investigates the hypothesis that stress-dependent transport properties of biopolymer networks regulate tumor growth. Here, alginate hydrogels are used as a model ECM system with tunable ionic and hybrid ionic/covalent crosslinking. Hydrogel stiffness, viscoelasticity, and stress relaxation behavior were characterized using stepwise axial compression. Among these properties, we find poroelastic fluid outflow dominates ECM stress relaxation, as the measured water flux was significantly affected under compression. Continuum mechanics-based modeling was developed to formulate and calculate the chemical potential gradients of water (solvent) in the hydrogels under compression. This framework was extended into an advection-diffusion framework to quantify growth factor (solute) distribution under varying strengths of stress and diffusion indexed by the relative strength of convective to diffusive transport, characterized by the P &amp; eacute;clet number. An agent-based computational simulation showed that the P &amp; eacute;clet numbers based on our experimental timescales strongly influenced tumor growth over longer, more physiologic timescales. Together, these results highlight the important role of water flux and transport in three-dimensional biopolymer networks.</t>
  </si>
  <si>
    <t>[Li, Zecheng; Kochanowski, Jakub; Janmey, Paul A.; Radhakrishnan, Ravi] Univ Penn, Sch Engn &amp; Appl Sci, Dept Bioengn, Philadelphia, PA 19104 USA; [Ren, Yifei; Purohit, Prashant K.] Univ Penn, Sch Engn &amp; Appl Sci, Dept Mech Engn &amp; Appl Mech, Philadelphia, PA 19104 USA; [Ren, Yifei; Kemkar, Sharvari; Purohit, Prashant K.; Radhakrishnan, Ravi] Univ Penn, Penn Inst Computat Sci, Philadelphia, PA 19104 USA; [Kemkar, Sharvari] Univ Penn, Sch Engn &amp; Appl Sci, Dept Chem &amp; Biomol Engn, Philadelphia, PA 19104 USA; [Mollenkopf, Paul; Janmey, Paul A.] Univ Penn, Sch Med, Dept Physiol, Philadelphia, PA 19104 USA; [Vining, Kyle H.] Univ Penn, Sch Dent Med, Dept Prevent &amp; Restorat Sci, Philadelphia, PA 19104 USA; [Vining, Kyle H.] Univ Penn, Sch Engn &amp; Appl Sci, Dept Mat Sci &amp; Engn, Philadelphia, PA 19104 USA; [Vining, Kyle H.] Univ Penn, Ctr Innovat &amp; Precis Dent, Philadelphia, PA 19104 USA</t>
  </si>
  <si>
    <t>Radhakrishnan, R (corresponding author), Univ Penn, Sch Engn &amp; Appl Sci, Dept Bioengn, Philadelphia, PA 19104 USA.;Radhakrishnan, R (corresponding author), Univ Penn, Penn Inst Computat Sci, Philadelphia, PA 19104 USA.;Vining, KH (corresponding author), Univ Penn, Sch Dent Med, Dept Prevent &amp; Restorat Sci, Philadelphia, PA 19104 USA.;Vining, KH (corresponding author), Univ Penn, Sch Engn &amp; Appl Sci, Dept Mat Sci &amp; Engn, Philadelphia, PA 19104 USA.;Vining, KH (corresponding author), Univ Penn, Ctr Innovat &amp; Precis Dent, Philadelphia, PA 19104 USA.</t>
  </si>
  <si>
    <t>rradhak@seas.upenn.edu; viningk@upenn.edu</t>
  </si>
  <si>
    <t>Vining, Kyle/I-9256-2017</t>
  </si>
  <si>
    <t>Ren, Yifei/0009-0000-4712-0657</t>
  </si>
  <si>
    <t>National Heart, Lung, and Blood Institute [R01 HL148227]; National Cancer Institute [CA250044]; National Institute of Dental and Craniofacial Research [L70DE035343, R00DE030084]; National Institute of General Medical Sciences [GM136259]; National Institute of Biomedical Imaging and Bioengineering [EB017753]; National Science Foundation [DMR 2212162, DMR-2309043]</t>
  </si>
  <si>
    <t>National Heart, Lung, and Blood Institute(United States Department of Health &amp; Human ServicesNational Institutes of Health (NIH) - USANIH National Heart Lung &amp; Blood Institute (NHLBI)); National Cancer Institute(United States Department of Health &amp; Human ServicesNational Institutes of Health (NIH) - USANIH National Cancer Institute (NCI)); National Institute of Dental and Craniofacial Research(United States Department of Health &amp; Human ServicesNational Institutes of Health (NIH) - USANIH National Institute of Dental &amp; Craniofacial Research (NIDCR)); National Institute of General Medical Sciences(United States Department of Health &amp; Human ServicesNational Institutes of Health (NIH) - USANIH National Institute of General Medical Sciences (NIGMS)); National Institute of Biomedical Imaging and Bioengineering(United States Department of Health &amp; Human ServicesNational Institutes of Health (NIH) - USANIH National Institute of Biomedical Imaging &amp; Bioengineering (NIBIB)); National Science Foundation(National Science Foundation (NSF))</t>
  </si>
  <si>
    <t>This study was supported by the REgeneration and ReSToration of Functions in ORal HEalth (RESTORE) Prize funded by the Center for Innovation &amp; Precision Dentistry (CiPD) and the Department of Oral and Maxillofacial Surgery's Schoenleber Fund, at the University of Pennsylvania. KHV received support from the National Institutes of Health for this work, NIH/NIDCR R00DE030084 and L70DE035343. This work was partially supported by NSF through the University of Pennsylvania Materials Research Science and Engineering Center (MRSEC) (DMR-2309043) through a seed grant to KHV and PKP. PKP and YR acknowledge NSF grant DMR 2212162. PKP acknowledges partial support from NIH grant R01 HL148227. RR and SK acknowledge funding by the National Institutes of Health Grants GM136259 (also PAJ), EB017753 and CA250044. We acknowledge the use of the Bridges-2 system, a resource of the Pittsburgh Supercomputing Center (PSC), part of the ACCESS program under grant MCB200101. The graphical abstract was edited using NotebookLM and Gemini Pro.</t>
  </si>
  <si>
    <t>10.1039/d6sm00060f</t>
  </si>
  <si>
    <t>MAR 2026</t>
  </si>
  <si>
    <t>GV7NF</t>
  </si>
  <si>
    <t>WOS:001730755300001</t>
  </si>
  <si>
    <t>Dong, RQ; Johnson, CW; Osuji, CO</t>
  </si>
  <si>
    <t>Dong, Ruiqi; Johnson, Christopher W.; Osuji, Chinedum O.</t>
  </si>
  <si>
    <t>Fast Potassium Ion Transport in Sub-1 nm Pores of Self-Assembled Polymer Membranes Derived from Linoleic Acid</t>
  </si>
  <si>
    <t>ALKALI-METAL IONS; EXCHANGE MEMBRANES; ELECTROLYTE; CONDUCTIVITY; CHALLENGES; PERMEATION; HYDRATION; BATTERY; ENERGY</t>
  </si>
  <si>
    <t>The transport of ions in nanoporous polymers is central to the development of membranes for electrochemical devices. Herein, we fabricate highly ordered nanoporous polymers by self-assembling and cross-linking conjugated linoleic acid and study the transport of potassium ions in the resulting uniform, sub-1 nm pores. The system features a transport limiting dimension of 0.65 nm, with 0.70 nm separating the carboxylate headgroups on the pore walls. Despite the small pore size relative to hydrated K+, we observe K+ conductivities of 1 and 10 mS cm-1 at 50% and 80% relative humidity (RH) at 30 degrees C, respectively. The activation energy at 80% RH is only approximate to 1.5x that for K+ conduction in the bulk electrolyte, suggesting that confinement and ion pairing do not significantly hinder transport. The well-defined pore size and appreciable conductivities may enable the use of such sustainably derived membranes in electrochemical devices where size-based discrimination of species is required.</t>
  </si>
  <si>
    <t>[Dong, Ruiqi; Johnson, Christopher W.; Osuji, Chinedum O.] Univ Penn, Dept Chem &amp; Biomol Engn, Philadelphia, PA 19104 USA</t>
  </si>
  <si>
    <t>Johnson, Christopher/OLS-0029-2025; Dong, Ruiqi/JBS-2383-2023</t>
  </si>
  <si>
    <t>Johnson, Christopher/0009-0009-2395-007X; Dong, Ruiqi/0000-0002-6931-4118</t>
  </si>
  <si>
    <t>Division of Materials Research [2010890, DMR 2223705]; NSF through CBET award [2025608, NSF DMR 2309043]; NSF NNCI program [1725969]; NSF MRI [W911NF-17-1-0282]; ARO DURIP grant; University of Pennsylvania</t>
  </si>
  <si>
    <t>Division of Materials Research(National Science Foundation (NSF)NSF - Directorate for Mathematical &amp; Physical Sciences (MPS)); NSF through CBET award; NSF NNCI program(National Science Foundation (NSF)NSF - Office of the Director (OD)); NSF MRI(National Science Foundation (NSF)NSF - Office of the Director (OD)); ARO DURIP grant; University of Pennsylvania</t>
  </si>
  <si>
    <t>This work was supported by NSF through CBET award 2010890. C.O.O. acknowledges additional support through DMR 2223705. Work was carried out in part at the Singh Center for Nanotechnology, which is supported by the NSF NNCI program under grant 2025608, and at the Dual Source and Environmental X-ray scattering facility operated by the Laboratory for Research on the Structure of Matter at the University of Pennsylvania (NSF DMR 2309043). The equipment purchase was made possible by NSF MRI grant (1725969), ARO DURIP grant (W911NF-17-1-0282), and the University of Pennsylvania. The authors gratefully acknowledge Prof. K. Winey for helpful discussions and assistance with transport and sorption measurements.</t>
  </si>
  <si>
    <t>AUG 4</t>
  </si>
  <si>
    <t>10.1021/acsmaterialslett.5c00638</t>
  </si>
  <si>
    <t>5SW7W</t>
  </si>
  <si>
    <t>WOS:001522316100001</t>
  </si>
  <si>
    <t>Cunha, MAG; Crocker, JC; Liu, AJ</t>
  </si>
  <si>
    <t>Cunha, Marco A. Galvani; Crocker, John C.; Liu, Andrea J.</t>
  </si>
  <si>
    <t>Building rigid networks with prestress and selective pruning</t>
  </si>
  <si>
    <t>PHYSICAL REVIEW RESEARCH</t>
  </si>
  <si>
    <t>SINGLE ACTIN-FILAMENTS; MECHANICS; DYNAMICS; STIFFNESS; FORCE; COFILIN; SOLIDS; CELLS</t>
  </si>
  <si>
    <t>Biopolymer networks from the intracellular to tissue scale display high rigidity and tensile stress while having coordinations well below the normal threshold for mechanical rigidity. The elastic filaments in these networks are often severed by enzymes in a tension-inhibited manner. The effects of such pruning on the mechanics of prestressed networks have not been studied. We show that networks pruned by a tension-inhibited method remain rigid at much lower coordinations than randomly pruned ones. These findings suggest a possible reason for the repeated evolution of tension-inhibited filament-severing proteins.</t>
  </si>
  <si>
    <t>[Cunha, Marco A. Galvani; Liu, Andrea J.] Univ Penn, Dept Phys &amp; Astron, Philadelphia, PA 19104 USA; [Crocker, John C.] Univ Penn, Dept Chem &amp; Biomol Engn, Philadelphia, PA 19104 USA; [Liu, Andrea J.] Santa Fe Inst, Santa Fe, NM 87501 USA</t>
  </si>
  <si>
    <t>University of Pennsylvania; University of Pennsylvania; The Santa Fe Institute</t>
  </si>
  <si>
    <t>Cunha, MAG (corresponding author), Univ Penn, Dept Phys &amp; Astron, Philadelphia, PA 19104 USA.</t>
  </si>
  <si>
    <t>mgalvani@sas.upenn.edu</t>
  </si>
  <si>
    <t>Liu, Andrea/K-3968-2017; Galvani Cunha, Marco Aurelio/AAZ-7226-2020; Crocker, John/D-4991-2012</t>
  </si>
  <si>
    <t>Liu, Andrea/0000-0002-2295-2729; Galvani Cunha, Marco Aurelio/0000-0001-9293-7113;</t>
  </si>
  <si>
    <t>NSF through the University of Pennsylvania Materials Research Science and Engineering Center (MRSEC) [DMR-2309043, NSF-PHY-1915174, NSF-DMR-2005749]; Simons Foundation [327939]; Center for Computational Biology at the Flatiron Institute; Isaac Newton Institute for Mathematical Sciences at Cambridge University (EPSRC) [EP/R014604/1]</t>
  </si>
  <si>
    <t>NSF through the University of Pennsylvania Materials Research Science and Engineering Center (MRSEC)(National Science Foundation (NSF)); Simons Foundation(Simons Foundation); Center for Computational Biology at the Flatiron Institute; Isaac Newton Institute for Mathematical Sciences at Cambridge University (EPSRC)</t>
  </si>
  <si>
    <t>We thank Sadjad Arzash, Paul Janmey, Fred MacKin-tosh, Ayanna Matthews, Sidney Nagel, and Daniel Reich for instructive discussions. M.A.G.C. was supported by NSF through the University of Pennsylvania Materials Research Science and Engineering Center (MRSEC) since the in-ception of DMR-2309043, and by NSF-PHY-1915174 and NSF-DMR-2005749 prior to that. A.J.L. thanks the Simons Foundation for support via No. 327939 as well as the Center for Computational Biology at the Flatiron Institute. A.J.L. also thanks the Isaac Newton Institute for Mathematical Sciences at Cambridge University (EPSRC Grant EP/R014604/1) , for support and hospitality.</t>
  </si>
  <si>
    <t>2643-1564</t>
  </si>
  <si>
    <t>PHYS REV RES</t>
  </si>
  <si>
    <t>Phys. Rev. Res.</t>
  </si>
  <si>
    <t>OCT 22</t>
  </si>
  <si>
    <t>L042020</t>
  </si>
  <si>
    <t>10.1103/PhysRevResearch.6.L042020</t>
  </si>
  <si>
    <t>K7P1I</t>
  </si>
  <si>
    <t>WOS:001345746800004</t>
  </si>
  <si>
    <t>Hanlan, JM; Dillavou, S; Liu, AJ; Durian, DJ</t>
  </si>
  <si>
    <t>Hanlan, Jesse M.; Dillavou, Sam; Liu, Andrea J.; Durian, Douglas J.</t>
  </si>
  <si>
    <t>Cornerstones are the key stones: using interpretable machine learning to probe the clogging process in 2D granular hoppers</t>
  </si>
  <si>
    <t>FLOW; TUTORIAL</t>
  </si>
  <si>
    <t>The sudden arrest of flow by formation of a stable arch over an outlet is a unique and characteristic feature of granular materials. Previous work suggests that grains near the outlet randomly sample configurational flow microstates until a clog-causing flow microstate is reached. However, factors that lead to clogging remain elusive. Here we experimentally observe over 50 000 clogging events for a tridisperse mixture of quasi-2D circular grains, and utilize a variety of machine learning (ML) methods to search for predictive signatures of clogging microstates. This approach fares just modestly better than chance. Nevertheless, our analysis using linear Support Vector Machines (SVMs) highlights the position of potential arch cornerstones as a key factor in clogging likelihood. We verify this experimentally by varying the position of a fixed (cornerstone) grain, which we show non-monotonically alters the average time and mass of each flow by dictating the size of feasible flow-ending arches. Positioning this grain correctly can even increase the ejected mass by 70%. Our findings suggest a bottom-up arch formation process, and demonstrate that interpretable ML algorithms like SVMs, paired with experiments, can uncover meaningful physics even when their predictive power is below the standards of conventional ML practice.</t>
  </si>
  <si>
    <t>[Hanlan, Jesse M.; Dillavou, Sam; Liu, Andrea J.; Durian, Douglas J.] Univ Penn, Dept Phys &amp; Astron, Philadelphia, PA 19104 USA; [Durian, Douglas J.] Univ Penn, Dept Mech Engn &amp; Appl Mech, Philadelphia, PA 19104 USA</t>
  </si>
  <si>
    <t>Liu, Andrea/K-3968-2017; Durian, Douglas/D-7013-2012; Liu, Andrea/K-3968-2017</t>
  </si>
  <si>
    <t>Liu, Andrea/0000-0002-2295-2729; Hanlan, Jesse/0000-0001-8214-5606; Durian, Douglas/0000-0003-3240-2381;</t>
  </si>
  <si>
    <t>Simons Foundation [DMR-1619625, MRSEC/DMR-1720530, MRSEC/DMR-2309043]; NSF [327939]; Simons Foundation; University of Pennsylvania School of Arts and Sciences' Data Driven Discovery Initiative; Center for Computational Biology at the Flatiron Institute, a division of the Simons Foundation [EP/R014601/1]; Isaac Newton Institute for Mathematical Sciences under the program New Statistical Physics in Living Matter</t>
  </si>
  <si>
    <t>Simons Foundation(Simons Foundation); NSF(National Science Foundation (NSF)); Simons Foundation(Simons Foundation); University of Pennsylvania School of Arts and Sciences' Data Driven Discovery Initiative; Center for Computational Biology at the Flatiron Institute, a division of the Simons Foundation(Simons Foundation); Isaac Newton Institute for Mathematical Sciences under the program New Statistical Physics in Living Matter</t>
  </si>
  <si>
    <t>We thank Kieran A. Murphy for helpful discussions. This work was partially supported by NSF grants DMR-1619625, MRSEC/DMR-1720530 and MRSEC/DMR-2309043, and the Simons Foundation grant #327939. SD acknowledges support from the University of Pennsylvania School of Arts and Sciences' Data Driven Discovery Initiative. AJL and DJD thank the Center for Computational Biology at the Flatiron Institute, a division of the Simons Foundation, as well as the Isaac Newton Institute for Mathematical Sciences under the program New Statistical Physics in Living Matter (EPSRC grant EP/R014601/1), for support and hospitality while a portion of this research was carried out. Portions of the paper were co-developed in the thesis 'Interplay Between Structure and Dynamics in Granular Materials and Twisted Strings' by Dr Jesse Hanlan.</t>
  </si>
  <si>
    <t>JUL 30</t>
  </si>
  <si>
    <t>10.1039/d5sm00367a</t>
  </si>
  <si>
    <t>5MT4I</t>
  </si>
  <si>
    <t>WOS:001529369700001</t>
  </si>
  <si>
    <t>Lin, D; Lynch, J; Wang, SD; Hu, ZK; Rai, RK; Zhang, HR; Chen, C; Kumari, S; Stach, EA; Davydov, AV; Redwing, JM; Jariwala, D</t>
  </si>
  <si>
    <t>Lin, Da; Lynch, Jason; Wang, Sudong; Hu, Zekun; Rai, Rajeev Kumar; Zhang, Huairuo; Chen, Chen; Kumari, Shalini; Stach, Eric A.; Davydov, Albert V.; Redwing, Joan M.; Jariwala, Deep</t>
  </si>
  <si>
    <t>Broadband Light Harvesting from Scalable Two-Dimensional Semiconductor Multi-Heterostructures</t>
  </si>
  <si>
    <t>NANO LETTERS</t>
  </si>
  <si>
    <t>multiheterostructure; broadbandabsorber; photovoltaic; transition-metal dichalcogenide; nanophotonic</t>
  </si>
  <si>
    <t>MONOLAYER MOS2; LAYER; PHOTOLUMINESCENCE; ABSORBER; SURFACE; ABSORPTION; STABILITY; WEIGHT; MOTE2</t>
  </si>
  <si>
    <t>Broadband absorption in the visible spectrum is essential in optoelectronic applications that involve power conversion such as photovoltaics and photocatalysis. Most ultrathin broadband absorbers use parasitic plasmonic structures that maximize absorption using surface plasmons and/or Fabry-Perot cavities, which limits the weight efficiency of the device. Here, we show the theoretical and experimental realization of an unpatterned/planar semiconductor thin-film absorber based on monolayer transition-metal dichalcogenides. We experimentally demonstrate an average total absorption in the visible range (450-700 nm) of &gt;70% using &lt;4 nm of semiconductor absorbing materials scalable over large areas with vapor phase growth techniques. Our analysis suggests that a power conversion efficiency of 15.54% and a specific power &gt;300 W g(-1) may be achieved in a photovoltaic cell based on this metamaterial absorber.</t>
  </si>
  <si>
    <t>[Lin, Da; Rai, Rajeev Kumar; Stach, Eric A.; Jariwala, Deep] Univ Penn, Mat Sci &amp; Engn, Philadelphia, PA 19104 USA; [Lynch, Jason; Wang, Sudong; Hu, Zekun; Jariwala, Deep] Univ Penn, Elect &amp; Syst Engn, Philadelphia, PA 19104 USA; [Zhang, Huairuo; Davydov, Albert V.] NIST, Mat Sci &amp; Engn Div, Gaithersburg, MD USA; [Zhang, Huairuo] Theiss Res Inc, La Jolla, CA 92037 USA; [Chen, Chen; Kumari, Shalini; Redwing, Joan M.] Penn State Univ, Mat Res Inst, 2D Crystal Consortium Mat Innovat Platform, University Pk, PA 16802 USA; [Chen, Chen; Kumari, Shalini; Redwing, Joan M.] Penn State Univ, Mat Res Inst, Dept Mat Sci &amp; Engn, 2D Crystal Consortium Mat Innovat Platform, University Pk, PA 16801 USA</t>
  </si>
  <si>
    <t>University of Pennsylvania; University of Pennsylvania; National Institute of Standards &amp; Technology (NIST) - USA; Pennsylvania Commonwealth System of Higher Education (PCSHE); Pennsylvania State University; Pennsylvania State University - University Park; Pennsylvania Commonwealth System of Higher Education (PCSHE); Pennsylvania State University; Pennsylvania State University - University Park</t>
  </si>
  <si>
    <t>Jariwala, D (corresponding author), Univ Penn, Mat Sci &amp; Engn, Philadelphia, PA 19104 USA.;Jariwala, D (corresponding author), Univ Penn, Elect &amp; Syst Engn, Philadelphia, PA 19104 USA.</t>
  </si>
  <si>
    <t>; Redwing, Joan/V-7528-2017; Davydov, Albert/V-5067-2019; Jariwala, Deep/E-9913-2013; Zhang, Huairuo/M-9428-2014; Stach, Eric/D-8545-2011; Kumari, Shalini/A-5955-2019</t>
  </si>
  <si>
    <t>Rai, Rajeev Kumar/0000-0002-2248-7601; Lin, Da/0009-0002-0320-9881; Hu, Zekun/0000-0002-7838-7001; Zhang, Huairuo/0000-0002-1984-1200; Stach, Eric/0000-0002-3366-2153; Kumari, Shalini/0000-0001-6457-2858</t>
  </si>
  <si>
    <t>Office of Naval Research [N00014-23-1-203]; Office of Naval Research (ONR) Young Investigator Award (YIP); Adam Alfieri for his work on the alignment markers for XTEM; Alfred P. Sloan Foundation's Sloan Fellowship in Chemistry; Penn Engineering Rachleff Scholars Program; University of Pennsylvania Center for Undergraduate Research &amp; Fellowships Grants for Faculty Mentoring Undergraduate Research (GfFMUR) [70NANB22H101, 70NANB22H075]; U.S. Department of Commerce, NIST [DMR-2039351]; The 2D Crystal Consortium Materials Innovation Platform - NSF [NNCI-2025608]; NSF National Nanotechnology Coordinated Infrastructure Program [DMR-2309043]; University of Pennsylvania Materials Research Science and Engineering Center (MRSEC)</t>
  </si>
  <si>
    <t>Office of Naval Research(United States Department of DefenseUnited States NavyOffice of Naval Research); Office of Naval Research (ONR) Young Investigator Award (YIP)(United States Department of DefenseUnited States NavyOffice of Naval Research); Adam Alfieri for his work on the alignment markers for XTEM; Alfred P. Sloan Foundation's Sloan Fellowship in Chemistry(Alfred P. Sloan Foundation); Penn Engineering Rachleff Scholars Program; University of Pennsylvania Center for Undergraduate Research &amp; Fellowships Grants for Faculty Mentoring Undergraduate Research (GfFMUR); U.S. Department of Commerce, NIST(National Institute of Standards &amp; Technology (NIST) - USA); The 2D Crystal Consortium Materials Innovation Platform - NSF; NSF National Nanotechnology Coordinated Infrastructure Program; University of Pennsylvania Materials Research Science and Engineering Center (MRSEC)</t>
  </si>
  <si>
    <t>The authors acknowledge primary support from the Office of Naval Research (ONR) Young Investigator Award (YIP) (N00014-23-1-203) Metamaterials Program. The authors thank Adam Alfieri for his work on the alignment markers for XTEM. D.J. also acknowledges support from the Alfred P. Sloan Foundation's Sloan Fellowship in Chemistry. D.L. acknowledges support from the Penn Engineering Rachleff Scholars Program and University of Pennsylvania Center for Undergraduate Research &amp; Fellowships Grants for Faculty Mentoring Undergraduate Research (GfFMUR). H.Z. acknowledges support from the U.S. Department of Commerce, NIST under financial assistance awards 70NANB22H101 and 70NANB22H075. The MOCVD grown TMDC monolayer samples were provided by the 2D Crystal Consortium Materials Innovation Platform (2DCC-MIP) facility at Penn State, which is funded by the NSF under cooperative agreement DMR-2039351. This work was carried out in part at the Singh Center for Nanotechnology, which is supported by the NSF National Nanotechnology Coordinated Infrastructure Program under grant NNCI-2025608 and through the use of facilities supported by the University of Pennsylvania Materials Research Science and Engineering Center (MRSEC) DMR-2309043.</t>
  </si>
  <si>
    <t>1530-6984</t>
  </si>
  <si>
    <t>1530-6992</t>
  </si>
  <si>
    <t>NANO LETT</t>
  </si>
  <si>
    <t>Nano Lett.</t>
  </si>
  <si>
    <t>OCT 28</t>
  </si>
  <si>
    <t>10.1021/acs.nanolett.4c02963</t>
  </si>
  <si>
    <t>L2I0E</t>
  </si>
  <si>
    <t>WOS:001344593700001</t>
  </si>
  <si>
    <t>Creekmore, BC; Kixmoeller, K; Black, B; Lee, EB; Chang, YW</t>
  </si>
  <si>
    <t>Creekmore, Benjamin C.; Kixmoeller, Kathryn; Black, Ben E.; Lee, Edward B.; Chang, Yi-Wei</t>
  </si>
  <si>
    <t>Ultrastructure of human brain tissue vitrified from autopsy revealed by cryo-ET with cryo-plasma FIB milling</t>
  </si>
  <si>
    <t>N BOND FORMATION; AROMATIC AZO-COMPOUNDS; C-H AMIDATION; CATALYZED SYNTHESIS; ALZHEIMERS-DISEASE; MEDIATED SYNTHESIS; CROSS; AMINATION; DRUG; HETEROCYCLES</t>
  </si>
  <si>
    <t>Ultrastructure of human brain tissue has traditionally been examined using electron microscopy (EM) following fixation, staining, and sectioning, which limit resolution and introduce artifacts. Alternatively, cryo-electron tomography (cryo-ET) allows higher resolution imaging of unfixed cellular samples while preserving architecture, but it requires samples to be vitreous and thin enough for transmission EM. Due to these requirements, cryo-ET has yet to be employed to investigate unfixed, never previously frozen human brain tissue. Here we present a method for generating lamellae in human brain tissue obtained at time of autopsy that can be imaged via cryo-ET. We vitrify the tissue via plunge-freezing and use xenon plasma focused ion beam (FIB) milling to generate lamellae directly on-grid at variable depth inside the tissue. Lamellae generated in Alzheimer's disease brain tissue reveal intact subcellular structures including components of autophagy and potential pathologic tau fibrils. Furthermore, we reveal intact compact myelin and functional cytoplasmic expansions. These images indicate that plasma FIB milling with cryo-ET may be used to elucidate nanoscale structures within the human brain. Here the authors report a method for cryogenic electron microscopy imaging of human brain tissue samples directly obtained from autopsy, offering insights into cellular ultrastructure and a tool to study potential pathologic features.</t>
  </si>
  <si>
    <t>[Creekmore, Benjamin C.; Lee, Edward B.] Univ Penn, Perelman Sch Med, Dept Pathol &amp; Lab Med, Translat Neuropathol Res Lab, Philadelphia, PA 19104 USA; [Creekmore, Benjamin C.; Kixmoeller, Kathryn; Black, Ben E.; Chang, Yi-Wei] Univ Penn, Perelman Sch Med, Dept Biochem &amp; Biophys, Philadelphia, PA 19104 USA; [Creekmore, Benjamin C.; Kixmoeller, Kathryn] Univ Penn, Perelman Sch Med, Biochem &amp; Mol Biophys Grad Grp, Philadelphia, PA USA; [Black, Ben E.; Chang, Yi-Wei] Univ Penn, Inst Struct Biol, Perelman Sch Med, Philadelphia, PA 19104 USA</t>
  </si>
  <si>
    <t>Lee, EB (corresponding author), Univ Penn, Perelman Sch Med, Dept Pathol &amp; Lab Med, Translat Neuropathol Res Lab, Philadelphia, PA 19104 USA.;Chang, YW (corresponding author), Univ Penn, Perelman Sch Med, Dept Biochem &amp; Biophys, Philadelphia, PA 19104 USA.;Chang, YW (corresponding author), Univ Penn, Inst Struct Biol, Perelman Sch Med, Philadelphia, PA 19104 USA.</t>
  </si>
  <si>
    <t>edward.lee@pennmedicine.upenn.edu; ywc@pennmedicine.upenn.edu</t>
  </si>
  <si>
    <t>Lee, Edward/AAU-8436-2021; Chang, Yi-Wei/HLP-6557-2023</t>
  </si>
  <si>
    <t>Black, Ben/0000-0002-3707-9483; Chang, Yi-Wei/0000-0003-2391-473X; Creekmore, Benjamin/0000-0001-7973-9438</t>
  </si>
  <si>
    <t>David and Lucile Packard Foundation (David &amp; Lucile Packard Foundation) [DMR-2309043]; National Science Foundation through the University of Pennsylvania Materials Research Science and Engineering Center; DeCrane Family Fund for PPA Research [RF1AG065341, P30AG072979, P01AG066597, U19AG062418]; Shanahan Family Foundation [T32GM132039, F30AG077756, F30CA261198]; National Institute of Health [1022785]; Burroughs Wellcome Fund Investigators in the Pathogenesis of Infectious Disease Program [RM1GM136511, R35GM130302]; Pennsylvania Department of Health FY19 Health Research Formula Fund</t>
  </si>
  <si>
    <t>David and Lucile Packard Foundation (David &amp; Lucile Packard Foundation); National Science Foundation through the University of Pennsylvania Materials Research Science and Engineering Center; DeCrane Family Fund for PPA Research; Shanahan Family Foundation; National Institute of Health(United States Department of Health &amp; Human ServicesNational Institutes of Health (NIH) - USA); Burroughs Wellcome Fund Investigators in the Pathogenesis of Infectious Disease Program; Pennsylvania Department of Health FY19 Health Research Formula Fund</t>
  </si>
  <si>
    <t>We are grateful to the patients, families and caregivers that make this research possible. We thank Jamie Ford at the Singh Center for Nanotechnology and Stefan Steimle at the Beckman Center for Cryo-Electron Microscopy at the University of Pennsylvania for their assistance. This research was partially supported by the National Science Foundation through the University of Pennsylvania Materials Research Science and Engineering Center (DMR-2309043). We thank Michel Goedert for graciously providing the TMEM239 antibody. We also thank Elisabeth Kremmer and Manuela Neumann for providing the 1D3 (anti-TDP-43) antibody. This study was supported by the DeCrane Family Fund for PPA Research, a gift from the Shanahan Family Foundation, and grants RF1AG065341 to E.B.L. and Y.-W.C., P30AG072979, P01AG066597, and U19AG062418 from the National Institute of Health to E.B.L.; a David and Lucile Packard Fellowship for Science and Engineering (2019-69645), Burroughs Wellcome Fund Investigators in the Pathogenesis of Infectious Disease Program (1022785), a Pennsylvania Department of Health FY19 Health Research Formula Fund, and RM1GM136511 from the National Institute of Health to Y.-W.C.; and R35GM130302 from the National Institute of Health to B.E.B. Training support was provided by the National Institute of Health T32GM132039 and F30AG077756 to B.C.C., and F30CA261198 to K.K.</t>
  </si>
  <si>
    <t>MAR 26</t>
  </si>
  <si>
    <t>10.1038/s41467-024-47066-1</t>
  </si>
  <si>
    <t>ME2C1</t>
  </si>
  <si>
    <t>WOS:001191874200015</t>
  </si>
  <si>
    <t>Ferko, BT; Granite, JE; Burlein, VA; Mecking, S; Osuji, CO; Winey, KI</t>
  </si>
  <si>
    <t>Ferko, Benjamin T.; Granite, Jack E.; Burlein, Viola A.; Mecking, Stefan; Osuji, Chinedum O.; Winey, Karen I.</t>
  </si>
  <si>
    <t>Environmental chambers for thin film characterization by grazing incidence x-ray scattering and broadband dielectric spectroscopy</t>
  </si>
  <si>
    <t>REVIEW OF SCIENTIFIC INSTRUMENTS</t>
  </si>
  <si>
    <t>RELATIVE-HUMIDITY; POLYMER; SOLVENT; POLYVINYLPYRROLIDONE; MEMBRANES; DYNAMICS; RELAXATION; ADSORPTION; TRANSPORT; WATER</t>
  </si>
  <si>
    <t>While x-ray scattering and broadband dielectric spectroscopy (BDS) experiments are routinely performed in vacuum and under controlled humidity on bulk samples, in situ measurements of thin films in non-aqueous solvent vapor environments introduce additional requirements. Two controlled environmental chambers for performing grazing incidence x-ray scattering and BDS address this critical need for studying thin films in either aqueous or organic atmospheres. Both chambers enable temperature-controlled measurements under ambient conditions, flowing gas or solvent vapor, or partial pressures generated by solvent reservoirs. In situ control of temperature is achieved by attaching to an external temperature controller. To facilitate grazing incidence small- and wide-angle x-ray scattering and x-ray reflectivity, the environmental chamber for grazing incidence x-ray scattering has exit angles of 2 theta = 38 degrees and 51 degrees in the horizontal and vertical directions, respectively. Low x-ray attenuation (similar to 10%) is achieved by using Kapton windows, and the chamber is sealed to enable use in evacuated x-ray scattering systems such as the Xenocs Xeuss 2.0. The broadband dielectric spectroscopy environmental chamber measures dipole dynamics and ionic conductivities of materials on interdigitated electrodes. Cord grip feedthroughs eliminate additional capacitance from the sample chamber and make the environmental chamber broadly compatible with electrochemical impedance spectrometers. The utility of these chambers is demonstrated on three polymeric systems with various film thicknesses, morphologies, and solvents.</t>
  </si>
  <si>
    <t>[Ferko, Benjamin T.; Winey, Karen I.] Univ Penn, Dept Mat Sci &amp; Engn, Philadelphia, PA 19104 USA; [Granite, Jack E.; Osuji, Chinedum O.; Winey, Karen I.] Univ Penn, Dept Chem &amp; Biomol Engn, Philadelphia, PA 19104 USA; [Burlein, Viola A.; Mecking, Stefan] Univ Konstanz, Dept Chem, D-78464 Constance, Germany</t>
  </si>
  <si>
    <t>University of Pennsylvania; University of Pennsylvania; University of Konstanz</t>
  </si>
  <si>
    <t>Winey, Karen/HJH-7326-2023; Mecking, Stefan/E-6991-2012</t>
  </si>
  <si>
    <t>Deutsche Forschungsgemeinschaft [1388/18-1]; Baden-Wrttemberg Stiftung [project PRICON]; Division of Materials Research [NSF-DMR 2519782, NSF-DMR-2309043]</t>
  </si>
  <si>
    <t>Deutsche Forschungsgemeinschaft(German Research Foundation (DFG)); Baden-Wrttemberg Stiftung; Division of Materials Research(National Science Foundation (NSF)NSF - Directorate for Mathematical &amp; Physical Sciences (MPS))</t>
  </si>
  <si>
    <t>B.F. and K.I.W. acknowledge NSF-DMR 2519782. The authors also acknowledge the use of the Dual Source and Environmental X-ray Scattering Facility operated by the Laboratory for Research on the Structure of Matter at the University of Pennsylvania, supported by the NSF through Grant No. DMR-2309043. Funding by the Baden-Wurttemberg Foundation (project PRICON) and by the DFG (Grant No.1388/18-1) is gratefully acknowledged. We also thank Benjamin Ketter and Professor Paul Nealey of the University of Chicago for fabricating and providing the interdigitated electrodes used in this work. We are especially grateful to Jeffrey Hancock of the University of Pennsylvania Machine Shop for assisting with the design and machining of the environmental chambers.</t>
  </si>
  <si>
    <t>0034-6748</t>
  </si>
  <si>
    <t>1089-7623</t>
  </si>
  <si>
    <t>REV SCI INSTRUM</t>
  </si>
  <si>
    <t>Rev. Sci. Instrum.</t>
  </si>
  <si>
    <t>10.1063/5.0309613</t>
  </si>
  <si>
    <t>Instruments &amp; Instrumentation; Physics, Applied</t>
  </si>
  <si>
    <t>Instruments &amp; Instrumentation; Physics</t>
  </si>
  <si>
    <t>GM6GM</t>
  </si>
  <si>
    <t>WOS:001739997300001</t>
  </si>
  <si>
    <t>Han, ZR; Chen, CC; Pradhan, DK; Moore, DC; Gudavalli, R; Yang, XD; Kim, KH; Cho, H; Anderson, Z; Ware, S; Yellai, H; Kennedy, WJ; Glavin, NR; Olsson, RH III; Jariwala, D</t>
  </si>
  <si>
    <t>Han, Zirun; Chen, Chao-Chuan; Pradhan, Dhiren K.; Moore, David C.; Gudavalli, Ravali; Yang, Xindi; Kim, Kwan-Ho; Cho, Hyunmin; Anderson, Zachary; Ware, Spencer; Yellai, Harsh; Kennedy, W. Joshua; Glavin, Nicholas R.; Olsson, Roy H.; Jariwala, Deep</t>
  </si>
  <si>
    <t>Kilobyte-scale, selector-free, thermally robust AlScN ferroelectric diode crossbar arrays</t>
  </si>
  <si>
    <t>We report the fabrication and characterization of kilobyte-scale, selector-free, high-temperature-compatible ferroelectric (FE) diode crossbar memory arrays based on aluminum scandium nitride (AlScN). Utilizing a fully CMOS back-end-of-line (BEOL)-compatible process, we fabricated 2-kilobyte (128 &amp; times; 128) arrays with device diameters down to 5 mu m, achieving memory densities up to 2,500 bits/mm2. Large-scale electrical characterization across 1,000 randomly selected devices reveals a yield of 95.2%, a tight switching voltage distribution with a coefficient of variation (CV) of 0.003, and consistent on/off ratios of around 10 with a CV of 0.27. We demonstrate selector-free read and program operations, enabled by the high nonlinearity, rectification, and uniform switching behavior of the FE diodes. We verified consistent FE switching during array operation at temperatures reaching up to 600 degrees C. Our results highlight the potential of AlScN FE diode arrays for energy-efficient, high-density memory applications and lay the groundwork for their integration in compute-near-memory, high-temperature-memory, and analog compute-in-memory systems.</t>
  </si>
  <si>
    <t>[Han, Zirun; Chen, Chao-Chuan; Pradhan, Dhiren K.; Kim, Kwan-Ho; Cho, Hyunmin; Anderson, Zachary; Ware, Spencer; Yellai, Harsh; Olsson, Roy H.; Jariwala, Deep] Univ Penn, Dept Elect &amp; Syst Engn, Philadelphia, PA 19104 USA; [Moore, David C.; Kennedy, W. Joshua; Glavin, Nicholas R.] Air Force Res Lab, Mat &amp; Mfg Directorate, Dayton, OH 45433 USA; [Gudavalli, Ravali; Yang, Xindi; Jariwala, Deep] Univ Penn, Dept Mat Sci &amp; Engn, Philadelphia, PA 19104 USA; [Han, Zirun] Univ Penn, Dept Phys &amp; Astron, Philadelphia, PA 19104 USA</t>
  </si>
  <si>
    <t>Jariwala, D (corresponding author), Univ Penn, Dept Elect &amp; Syst Engn, Philadelphia, PA 19104 USA.;Jariwala, D (corresponding author), Univ Penn, Dept Mat Sci &amp; Engn, Philadelphia, PA 19104 USA.</t>
  </si>
  <si>
    <t>Kim, Kwan-Ho/IYS-3513-2023; Han, Zirun/KHE-1260-2024; Jariwala, Deep/E-9913-2013; Kennedy, William/JZE-5276-2024; Pradhan, Dhiren/J-7280-2019; /P-9015-2014</t>
  </si>
  <si>
    <t>Vagelos Integrated Program in Energy Research (VIPER) at Penn; Air Force Research Laboratory [FA8650-20-2-5506]; NextFlex; Air Force Office of Scientific Research (AFOSR) GHz-THz Program [FA9550-23-1-0391]; National Science Foundation (NSF) National Nanotechnology Coordinated Infrastructure Program [NNCI-2025608]; University of Pennsylvania Materials Research Science and Engineering Center (MRSEC) [DMR-2309043]</t>
  </si>
  <si>
    <t>Vagelos Integrated Program in Energy Research (VIPER) at Penn; Air Force Research Laboratory; NextFlex; Air Force Office of Scientific Research (AFOSR) GHz-THz Program(United States Department of DefenseAir Force Office of Scientific Research (AFOSR)); National Science Foundation (NSF) National Nanotechnology Coordinated Infrastructure Program(National Science Foundation (NSF)); University of Pennsylvania Materials Research Science and Engineering Center (MRSEC)</t>
  </si>
  <si>
    <t>The authors thank Alexander Kyimpopkin of the University of Pennsylvania for advice on and help with performing SPICE simulations. Z.H. acknowledges funding support from the Vagelos Integrated Program in Energy Research (VIPER) at Penn. This material is based on research sponsored by the Air Force Research Laboratory under agreement number FA8650-20-2-5506, as conducted through the flexible hybrid electronics manufacturing innovation institute, NextFlex. D.J. acknowledges partial support from the Air Force Office of Scientific Research (AFOSR) GHz-THz Program (grant no. FA9550-23-1-0391) . The US government is authorized to reproduce and distribute reprints for governmental purposes, notwithstanding any copyright notation thereon. The views and conclusions contained herein are those of the authors and should not be interpreted as necessarily representing the official policies or en-dorsements, either expressed or implied, of the Air Force Research Laboratory or the US government. Portions of the sample fabrication, assembly, and characterization were carried out at the Singh Center for Nanotechnology at the University of Pennsylvania, which is supported by the National Science Foundation (NSF) National Nanotechnology Coordinated Infrastructure Program grant NNCI-2025608 and through the use of facilities supported by the University of Pennsylvania Materials Research Science and Engineering Center (MRSEC) DMR-2309043.</t>
  </si>
  <si>
    <t>10.1016/j.device.2025.100974</t>
  </si>
  <si>
    <t>EE2HV</t>
  </si>
  <si>
    <t>WOS:001698987600001</t>
  </si>
  <si>
    <t>Zhang, Q; Zhang, H; Jeon, S; Ortiz, EO; Vander Pas, BE; Zhu, GQ; Lien, YK; Li, CZ; Guo, HY; Zhu, BX; Losovyj, Y; Filippelli, GM; Ye, XC; Stach, EA; Liu, P; Xie, J</t>
  </si>
  <si>
    <t>Zhang, Qi; Zhang, Hong; Jeon, Sungho; Ortega Ortiz, Erika; Vander Pas, Brooke E.; Zhu, Guangqi; Lien, Yi-Kai; Li, Chenzhao; Guo, Huayu; Zhu, Baixu; Losovyj, Yaroslav; Filippelli, Gabriel M.; Ye, Xingchen; Stach, Eric A.; Liu, Ping; Xie, Jian</t>
  </si>
  <si>
    <t>Theory Guided Fine-Tune of Strain Effects in Pt Ternary Alloy via Rare Earth Templating: Achieving High Performance PEMFCs Catalysts</t>
  </si>
  <si>
    <t>ORR; PEMFCs; Pt ternary alloys; rare earth metal; strain effects; theory-guided design; volcano plots</t>
  </si>
  <si>
    <t>OXYGEN REDUCTION; PARTICLE-SIZE; TRANSITION-METALS; ELECTROCATALYSTS; PLATINUM; NANOPARTICLES; DURABILITY; TRENDS</t>
  </si>
  <si>
    <t>The sluggish kinetics and insufficient durability of platinum-based catalysts remain crucial barriers limiting proton-exchange-membrane fuel cells (PEMFCs) deployment. Here, we report a theory-guided synthesis combined with rare-earth templating to realize a previously inaccessible Pt5Co-like phase with tailored atomic-scale strain. Guided by density functional theory (DFT) calculations, we identified that a Pt5Co-like sublayer can induce a unique mild compressive strain (-1.24%) to the Pt(111) shell and an optimal *OH binding energy shift (Delta E approximate to 0.11 eV). This shift positions the alloy catalyst near the apex of the oxygen reduction reaction activity volcano. This prediction guided the synthesis of ternary alloy Pt5(Ce)Co@Pt multilayer nanoparticles, featuring a Ce-stabilized core, a Pt5Co-like sublayer, and a Pt-rich shell. This catalyst demonstrates both exceptionally high activity and durability, achieving a mass activity of 2.6 A center dot mgPt -1 in rotating disk electrode testing. In fuel cell membrane electrode assembly tests, Pt5(Ce)Co@Pt achieves a current density of 1.9 A center dot cm-2 at 0.7 V under heavy-duty vehicle conditions. Remarkably, it maintains 1.2 A center dot cm-2 after 1 80 000 AST cycles, doubling the U.S. DOE 2025 target. This work demonstrates a rational design strategy that DFT-guided strain engineering integrates with rare-earth templating to advance Pt-based catalysts for fuel cell applications.</t>
  </si>
  <si>
    <t>[Zhang, Qi; Zhu, Guangqi; Li, Chenzhao; Xie, Jian] Purdue Univ, Sch Mech Engn, W Lafayette, IN 47907 USA; [Zhang, Hong; Liu, Ping] SUNY Stony Brook, Dept Chem, Stony Brook, NY 11794 USA; [Jeon, Sungho; Ortega Ortiz, Erika; Stach, Eric A.] Univ Penn, Dept Mat Sci &amp; Engn, Philadelphia, PA 19104 USA; [Vander Pas, Brooke E.; Filippelli, Gabriel M.] Indiana Univ, Dept Earth &amp; Environm Sci, Indianapolis, IN USA; [Lien, Yi-Kai; Xie, Jian] Purdue Univ, Sch Mat Engn, W Lafayette, IN 47907 USA; [Guo, Huayu; Zhu, Baixu; Losovyj, Yaroslav; Ye, Xingchen] Indiana Univ, Dept Chem, Bloomington, IN USA; [Liu, Ping] Brookhaven Natl Lab, Chem Div, Upton, NY 11973 USA</t>
  </si>
  <si>
    <t>Purdue University System; Purdue University; Purdue University in Indianapolis; State University of New York (SUNY) System; Stony Brook University; University of Pennsylvania; Indiana University System; Indiana University Indianapolis; Purdue University System; Purdue University; Indiana University System; Indiana University Bloomington; United States Department of Energy (DOE); Brookhaven National Laboratory</t>
  </si>
  <si>
    <t>Xie, J (corresponding author), Purdue Univ, Sch Mech Engn, W Lafayette, IN 47907 USA.;Liu, P (corresponding author), SUNY Stony Brook, Dept Chem, Stony Brook, NY 11794 USA.;Stach, EA (corresponding author), Univ Penn, Dept Mat Sci &amp; Engn, Philadelphia, PA 19104 USA.;Xie, J (corresponding author), Purdue Univ, Sch Mat Engn, W Lafayette, IN 47907 USA.;Liu, P (corresponding author), Brookhaven Natl Lab, Chem Div, Upton, NY 11973 USA.</t>
  </si>
  <si>
    <t>stach@seas.upenn.edu; pingliu3@bnl.gov; jxie@purdue.edu</t>
  </si>
  <si>
    <t>US Department of Energy [DE-SC0012704 through BNL-FWP CO-040]; University of Pennsylvania Materials Research Science and Engineering Center [DMR-2309043]; National Science Foundation [1531492, NNCI-2025608]</t>
  </si>
  <si>
    <t>US Department of Energy(United States Department of Energy (DOE)); University of Pennsylvania Materials Research Science and Engineering Center; National Science Foundation(National Science Foundation (NSF))</t>
  </si>
  <si>
    <t>The DFT calculations were carried out at Brookhaven National Laboratory (BNL), which was funded by the US Department of Energy (DOE), Office of Basic Energy Science, Division of Chemical Science, Geoscience, and Bioscience under Contract No. DE-SC0012704 through BNL-FWP CO-040. The calculations used computational resources at the Center for Functional Nanomaterials (CFN), a component of the Computational Science Initiative, at BNL under contract no. DE-SC0012704, and the high-performance SeaWulf computing system of Stony Brook Research Computing and Cyberinfrastructure and the Institute for Advanced Computational Science at Stony Brook University, which was made possible by a National Science Foundation grant (no. 1531492). STEM and EDS testing used resources of the Singh Center for Nanotechnology, which is supported by the NSF National Nanotechnology Coordinated Infrastructure Program under grant NNCI-2025608 and through the use of facilities supported by the University of Pennsylvania Materials Research Science and Engineering Center (MRSEC) DMR-2309043.</t>
  </si>
  <si>
    <t>2026 MAY 18</t>
  </si>
  <si>
    <t>10.1002/adma.73269</t>
  </si>
  <si>
    <t>MAY 2026</t>
  </si>
  <si>
    <t>IA2UV</t>
  </si>
  <si>
    <t>WOS:001766908100001</t>
  </si>
  <si>
    <t>Martinez, AP; Ng, A; Nah, SH; Yang, S</t>
  </si>
  <si>
    <t>Martinez, Antonio Proctor; Ng, Alicia; Nah, So Hee; Yang, Shu</t>
  </si>
  <si>
    <t>Active-Textile Yarns and Embroidery Enabled by Wet-Spun Liquid Crystalline Elastomer Filaments</t>
  </si>
  <si>
    <t>elastic yarns; embroidery; liquid crystal elastomers; smart textiles; wet spinning</t>
  </si>
  <si>
    <t>ELASTICITY</t>
  </si>
  <si>
    <t>Liquid crystal elastomers (LCEs) are promising candidates for creating adaptive textile-based devices that can actively and reversibly respond to the environment for sensing and communication. Despite recent advances in scalable manufacturing of LCE filaments for textile engineering, the actuation modes of various LCE filaments focus on contractual deformations. In this study, manufacture of polydomain LCE filaments with potential scalability by wet-spinning is studied, followed by mechanical exploitation to program liquid crystal mesogen alignments, demonstrating both contractual and twisting actuation profiles. By plying these LCE filaments into yarns with different twist concentrations, yarn actuation, and mechanical performance is tuned. Yarns plied at 4 twists per cm can generate up to a seven-fold increase in elastic modulus while maintaining 90% of actuation strain performance from their native filament. The contractual and twisting LCE filaments are then embroidered with varying stitch types to spatially program complex 2D-to-3D transformations in inactive fabrics. It is shown that a running stitch can actuate up to 15% in strain and create angular displacements in fabric with twisted mesogen alignments. It is envisioned that the wet-spun polydomain LCE filaments for diverse plied yarn production together with textile engineering will open new opportunities to design smart textiles and soft robotics. Polydomain liquid crystal elastomer (LCE) filaments are scalably manufactured by wet spinning, followed by mechanical exploitation to program diverse mesogen alignments for contractual and twisting actuation profiles. Through filament assembly (yarn plying) and textile structuring (embroidery), the actuation and mechanical performance are modulated in yarns and inactive fabrics embroidered with LCE filaments. image</t>
  </si>
  <si>
    <t>[Martinez, Antonio Proctor; Ng, Alicia; Nah, So Hee; Yang, Shu] Univ Penn, Dept Mat Sci &amp; Engn, 3231 Walnut St, Philadelphia, PA 19104 USA</t>
  </si>
  <si>
    <t>; Yang, Shu/D-9758-2011</t>
  </si>
  <si>
    <t>Martinez, Antonio/0000-0002-4209-0003; Ng, Alicia/0009-0003-5553-3533; Nah, So Hee/0000-0002-1564-201X;</t>
  </si>
  <si>
    <t>National Science Foundation [CMMI 2037097]; National Science Foundation (NSF) Future Eco Manufacturing Research Grant [DGE-2236662]; NSF Graduate Research Fellowships Program (GRFP) [DMR-2309043]; NSF Materials Research Science and Engineering Center [17-25969]; NSF Major Research Instrumentation (MRI) [W911NF-17-1-0282]; Army Research Office (ARO) Defense University Research Instrumentation Program (DURIP); University of Pennsylvania; National GEM Consortium through the GEM Fellowship</t>
  </si>
  <si>
    <t>National Science Foundation(National Science Foundation (NSF)); National Science Foundation (NSF) Future Eco Manufacturing Research Grant(National Science Foundation (NSF)); NSF Graduate Research Fellowships Program (GRFP); NSF Materials Research Science and Engineering Center(National Science Foundation (NSF)); NSF Major Research Instrumentation (MRI)(National Science Foundation (NSF)); Army Research Office (ARO) Defense University Research Instrumentation Program (DURIP); University of Pennsylvania; National GEM Consortium through the GEM Fellowship</t>
  </si>
  <si>
    <t>This research was supported by the National Science Foundation (NSF) Future Eco Manufacturing Research Grant (FMRG, # CMMI 2037097, to S.Y.) and NSF Graduate Research Fellowships Program (GRFP) (grant #, DGE-2236662, to A.P.M.). The authors acknowledge the use of SEM instruments and the Dual Source and Environmental X-ray Scattering facility supported by the NSF Materials Research Science and Engineering Center (grant #, DMR-2309043) at the University of Pennsylvania. The purchase of the Dual Source and Environmental X-ray Scattering facility was made possible by a NSF Major Research Instrumentation (MRI) grant (#17-25969), an Army Research Office (ARO) Defense University Research Instrumentation Program (DURIP) grant (W911NF-17-1-0282) and the University of Pennsylvania. The authors also thank Benjamin Ferko and Max S. Win for critical assistance with SAXS data collection. A.P.M. also gratefully acknowledges the support from the National GEM Consortium through the GEM Fellowship.</t>
  </si>
  <si>
    <t>10.1002/adfm.202400742</t>
  </si>
  <si>
    <t>D6Y1G</t>
  </si>
  <si>
    <t>WOS:001199746100001</t>
  </si>
  <si>
    <t>Sung, M; Oh, MJ; Wang, TC; Ahn, J; Oh, JH; Stebe, KJ; Lee, D; Hwang, G; Kim, JW</t>
  </si>
  <si>
    <t>Sung, Minchul; Oh, Min Jun; Wang, Tiancheng; Ahn, Jaeyong; Oh, Joon Hak; Stebe, Kathleen J.; Lee, Daeyeon; Hwang, Geelsu; Kim, Jin Woong</t>
  </si>
  <si>
    <t>Metal-Oxide-Decorated Mesoporous Silica Chemiresistors for Exhaled Biomarker Detection</t>
  </si>
  <si>
    <t>ACS OMEGA</t>
  </si>
  <si>
    <t>GAS SENSOR; SENSING MECHANISM; LOW-TEMPERATURE; SNO2; NANOPARTICLES; SENSITIVITY; MEMBRANES; TOLUENE; GROWTH</t>
  </si>
  <si>
    <t>A metal-oxide-decorated mesoporous silica (MOMS) chemiresistor platform enables the selective detection of disease-specific volatile organic compounds (VOCs) in exhaled breath. Functionalization of these mesoporous structures with metals and metal oxides facilitates the detection of a wide range of VOCs. To create a sensing architecture with a bicontinuous morphology that optimizes molecular diffusion and electron transport pathways, we employ physically confined polymerization-induced phase separation (PC-PIPS) to fabricate template-directed mesoporous structures with controlled film thicknesses ranging from 1 to 5 mu m. Incorporation of metal oxides (SnO2, ZnO) and noble metals (Pt, Au) forms p-n heterojunctions, enhancing sensitivity and selectivity through modulation of electron depletion layers. The MOMS chemiresistors demonstrate distinct response patterns toward key biomarkers, including hydrogen sulfide (periodontal disease), toluene (gingivitis), formaldehyde (oral carcinoma), and acetone (diabetes mellitus). Response magnitudes range from 1.75-5.66 at 10 ppm to 5.56-12.13 at 100 ppm of H2S, with unique electronic signatures, enabling identification of complex gas mixtures. This scalable and versatile fabrication approach establishes MOMS chemiresistors as a promising platform for noninvasive, early-stage disease detection via breath analysis.</t>
  </si>
  <si>
    <t>[Sung, Minchul; Kim, Jin Woong] Sungkyunkwan Univ, Sch Chem Engn, Suwon 16419, South Korea; [Oh, Min Jun; Wang, Tiancheng; Stebe, Kathleen J.; Lee, Daeyeon] Univ Penn, Sch Engn &amp; Appl Sci, Dept Chem &amp; Biomol Engn, Philadelphia, PA 19104 USA; [Oh, Min Jun; Hwang, Geelsu] Univ Penn, Sch Dent Med, Dept Prevent &amp; Restorat Sci, Philadelphia, PA 19104 USA; [Ahn, Jaeyong; Oh, Joon Hak] Seoul Natl Univ, Inst Chem Proc, Sch Chem &amp; Biol Engn, Seoul 08826, South Korea; [Hwang, Geelsu] Univ Penn, Ctr Innovat &amp; Precis Dent, Sch Dent Med, Sch Engn &amp; Appl Sci, Philadelphia, PA 19104 USA</t>
  </si>
  <si>
    <t>Sungkyunkwan University (SKKU); University of Pennsylvania; University of Pennsylvania; Seoul National University (SNU); University of Pennsylvania</t>
  </si>
  <si>
    <t>Kim, JW (corresponding author), Sungkyunkwan Univ, Sch Chem Engn, Suwon 16419, South Korea.;Lee, D (corresponding author), Univ Penn, Sch Engn &amp; Appl Sci, Dept Chem &amp; Biomol Engn, Philadelphia, PA 19104 USA.;Hwang, G (corresponding author), Univ Penn, Sch Dent Med, Dept Prevent &amp; Restorat Sci, Philadelphia, PA 19104 USA.;Hwang, G (corresponding author), Univ Penn, Ctr Innovat &amp; Precis Dent, Sch Dent Med, Sch Engn &amp; Appl Sci, Philadelphia, PA 19104 USA.</t>
  </si>
  <si>
    <t>daeyeon@seas.upenn.edu; geelsuh@upenn.edu; jinwoongkim@skku.edu</t>
  </si>
  <si>
    <t>Oh, Minjun/O-3744-2018; Ahn, Jaeyong/ABB-2827-2020; Oh, Joon Hak/F-1454-2010; Hwang, Geelsu/F-9484-2011</t>
  </si>
  <si>
    <t>Oh, Minjun/0000-0001-6082-3162; Kim, Jin Woong/0000-0002-6485-9936; Stebe, Kathleen/0000-0003-0510-0513; Oh, Joon Hak/0000-0003-0481-6069; Hwang, Geelsu/0000-0001-7277-5639</t>
  </si>
  <si>
    <t>National Institute of Dental and Craniofacial Research [NSF DMR 1720530, DMR 2309043]; Penn MRSEC through NSF [CBET 1945841, NIH DE032343, NSF ECCS 2225697]; NSF [HI19C1348]; Korea Health Technology R&amp;D Project through the Korea Health Industry Development Institute (KHIDI) - Ministry of Health &amp; Welfare, Republic of Korea</t>
  </si>
  <si>
    <t>National Institute of Dental and Craniofacial Research(United States Department of Health &amp; Human ServicesNational Institutes of Health (NIH) - USANIH National Institute of Dental &amp; Craniofacial Research (NIDCR)); Penn MRSEC through NSF; NSF(National Science Foundation (NSF)); Korea Health Technology R&amp;D Project through the Korea Health Industry Development Institute (KHIDI) - Ministry of Health &amp; Welfare, Republic of Korea</t>
  </si>
  <si>
    <t>This research was supported by grants from Penn MRSEC through NSF (NSF DMR 1720530 and DMR 2309043), NSF CBET 1945841, NIH DE032343, NSF ECCS 2225697, and the Korea Health Technology R&amp;D Project through the Korea Health Industry Development Institute (KHIDI), funded by the Ministry of Health &amp; Welfare, Republic of Korea (grant number: HI19C1348).</t>
  </si>
  <si>
    <t>2470-1343</t>
  </si>
  <si>
    <t>ACS Omega</t>
  </si>
  <si>
    <t>APR 11</t>
  </si>
  <si>
    <t>10.1021/acsomega.5c00912</t>
  </si>
  <si>
    <t>1SF6Y</t>
  </si>
  <si>
    <t>WOS:001465852700001</t>
  </si>
  <si>
    <t>Dong, RQ; Kim, NK; Yi, Z; Osuji, CO</t>
  </si>
  <si>
    <t>Dong, Ruiqi; Kim, Na Kyung; Yi, Zhuan; Osuji, Chinedum O.</t>
  </si>
  <si>
    <t>Self-assembled nanostructured membranes with tunable pore size and shape from plant-derived materials</t>
  </si>
  <si>
    <t>NANOSCALE</t>
  </si>
  <si>
    <t>IONIC-CONDUCTIVITY; LIQUID; MESOGENS</t>
  </si>
  <si>
    <t>Nanostructured materials derived from sustainable sources are of interest as viable alternatives to traditional petroleum-derived sources in membrane applications due to environmental concerns. Here, we present the development of pore size-tunable nanostructured polymer membranes based on a plant-derived material. The membranes were fabricated using a tri-functional amine as the templating core species and a cross-linkable ligand synthesized from rose oil-derived citronellol. The self-assembly of a supramolecular complex between the template core and the ligand forms a hexagonally packed columnar (Colh) mesophase, the dimensions of which can be precisely controlled by changing the stoichiometric ratio between these constituents. Within the hexagonal mesophase stoichiometric range, the pore size of the nanostructured membranes can be tuned from 1.0 to 1.3 nm, with a step size of approximately 0.1 nm. The membranes exhibited a clear distinction in molecular size selectivity, as demonstrated by dye adsorption experiments. The membrane fabricated with a ligand-to-core ratio of 3 to 1 demonstrated shape-based selectivity, exhibiting a higher permeability for propeller-shaped penetrants and highlighting its potential for shape-selective transport. We anticipate that this straightforward approach, using plant-derived materials, can contribute to important sustainability aspects while enhancing the performance of current state-of-the-art nanostructured membranes by enabling precise control over pore size. This study reports on the fabrication of nanostructured membranes, based on plant-derived materials, with sub-nanometer tunability of pore size accomplished by unique stoichiometrically-biased variations.</t>
  </si>
  <si>
    <t>[Dong, Ruiqi; Kim, Na Kyung; Yi, Zhuan; Osuji, Chinedum O.] Univ Penn, Dept Chem &amp; Biomol Engn, Philadelphia, PA 19104 USA</t>
  </si>
  <si>
    <t>Kim, Na Kyung/IQS-1278-2023; Dong, Ruiqi/JBS-2383-2023</t>
  </si>
  <si>
    <t>Dong, Ruiqi/0000-0002-6931-4118</t>
  </si>
  <si>
    <t>National Science Foundation [2010890, DMR 2223705]; NSF through CBET award [2025608, NSF DMR 2309043]; NSF NNCI program [1725969]; NSF MRI grant [W911NF-17-1-0282]; ARO DURIP grant; University of Pennsylvania</t>
  </si>
  <si>
    <t>National Science Foundation(National Science Foundation (NSF)); NSF through CBET award; NSF NNCI program(National Science Foundation (NSF)NSF - Office of the Director (OD)); NSF MRI grant(National Science Foundation (NSF)NSF - Office of the Director (OD)); ARO DURIP grant; University of Pennsylvania</t>
  </si>
  <si>
    <t>This work was supported by NSF through CBET award 2010890. C. O. acknowledges additional support through DMR 2223705. This work was carried out in part at the Singh Center for Nanotechnology which was supported by the NSF NNCI program under grant 2025608 and at the Dual Source and Environmental X-ray Scattering Facility operated by the Laboratory for Research on the Structure of Matter at the University of Pennsylvania (NSF DMR 2309043). The equipment purchase was made possible by the NSF MRI grant (1725969), the ARO DURIP grant (W911NF-17-1-0282), and the University of Pennsylvania.</t>
  </si>
  <si>
    <t>2040-3364</t>
  </si>
  <si>
    <t>2040-3372</t>
  </si>
  <si>
    <t>Nanoscale</t>
  </si>
  <si>
    <t>NOV 13</t>
  </si>
  <si>
    <t>10.1039/d4nr02291b</t>
  </si>
  <si>
    <t>Chemistry, Multidisciplinary; Nanoscience &amp; Nanotechnology; Materials Science, Multidisciplinary; Physics, Applied</t>
  </si>
  <si>
    <t>L8S0Z</t>
  </si>
  <si>
    <t>WOS:001337345900001</t>
  </si>
  <si>
    <t>Kim, KH; Han, ZR; Zhang, YN; Musavigharavi, P; Zheng, JF; Pradhan, DK; Stach, EA; Olsson, RH III; Jariwala, D</t>
  </si>
  <si>
    <t>Kim, Kwan-Ho; Han, Zirun; Zhang, Yinuo; Musavigharavi, Pariasadat; Zheng, Jeffrey; Pradhan, Dhiren K.; Stach, Eric A.; Olsson III, Roy H.; Jariwala, Deep</t>
  </si>
  <si>
    <t>Multistate, Ultrathin, Back-End-of-Line-Compatible AlScN Ferroelectric Diodes</t>
  </si>
  <si>
    <t>memristors; ferroelectric; non-volatile memory; diodes; aluminum scandium nitride</t>
  </si>
  <si>
    <t>The growth in data generation necessitates efficient data processing technologies to address the von Neumann bottleneck in conventional computer architecture. Memory-driven computing, which integrates nonvolatile memory (NVM) devices in a 3D stack, is gaining attention, with CMOS back-end-of-line (BEOL)-compatible ferroelectric (FE) diodes being ideal due to their two-terminal design and inherently selector-free nature, facilitating high-density crossbar arrays. Here, we demonstrate BEOL-compatible, high-performance FE diodes scaled to 5, 10, and 20 nm FE Al0.72Sc0.28N/Al0.64Sc0.36N films. Through interlayer (IL) engineering, we show substantial improvements in the on/off ratios (&gt;166 times) and rectification ratios (&gt;176 times) in these scaled devices. These characteristics also enable 5-bit multistate operation with a stable retention. We also experimentally and theoretically demonstrate the counterintuitive result that the inclusion of an IL can lead to a decrease in the ferroelectric switching voltage of the device. An in-depth analysis into the device transport mechanisms is performed, and our compact model aligns seamlessly with the experimental results. Our results suggest the possibility of using scaled AlxSc1-xN FE diodes for high-performance, low-power, embedded NVM.</t>
  </si>
  <si>
    <t>[Kim, Kwan-Ho; Han, Zirun; Zhang, Yinuo; Pradhan, Dhiren K.; Olsson III, Roy H.; Jariwala, Deep] Univ Penn, Dept Elect &amp; Syst Engn, Philadelphia, PA 19104 USA; [Han, Zirun] Univ Penn, Dept Phys &amp; Astron, Philadelphia, PA 19104 USA; [Musavigharavi, Pariasadat; Zheng, Jeffrey; Stach, Eric A.] Univ Penn, Dept Mat Sci &amp; Engn, Philadelphia, PA 19104 USA; [Musavigharavi, Pariasadat] Univ Cent Florida, Dept Mat Sci &amp; Engn, Orlando, FL USA</t>
  </si>
  <si>
    <t>University of Pennsylvania; University of Pennsylvania; University of Pennsylvania; State University System of Florida; University of Central Florida</t>
  </si>
  <si>
    <t>Stach, Eric/D-8545-2011; Pradhan, Dhiren K/J-7280-2019; Han, Zirun/KHE-1260-2024; Jariwala, Deep/E-9913-2013; Kim, Kwan-Ho/IYS-3513-2023</t>
  </si>
  <si>
    <t>Stach, Eric/0000-0002-3366-2153; Musavigharavi, Pariasadat/0000-0002-2977-5868; Pradhan, Dhiren K/0000-0003-1497-9267;</t>
  </si>
  <si>
    <t>Air Force Office of Scientific Research [FA9550-23-1-0391]; Air Force Office of Scientific Research (AFOSR) GHz-THz program [W911NF-19-2-0119]; Army/ARL via the Collaborative for Hierarchical Agile and Responsive Materials (CHARM) [NNCI-1542153]; NSF National Nanotechnology Coordinated Infrastructure Program [DMR-2309043]; NSF through the University of Pennsylvania Materials Research Science and Engineering Center (MRSEC); Vagelos Integrated Program in Energy Research (VIPER) at Penn</t>
  </si>
  <si>
    <t>Air Force Office of Scientific Research(United States Department of DefenseAir Force Office of Scientific Research (AFOSR)); Air Force Office of Scientific Research (AFOSR) GHz-THz program(United States Department of DefenseAir Force Office of Scientific Research (AFOSR)); Army/ARL via the Collaborative for Hierarchical Agile and Responsive Materials (CHARM); NSF National Nanotechnology Coordinated Infrastructure Program; NSF through the University of Pennsylvania Materials Research Science and Engineering Center (MRSEC)(National Science Foundation (NSF)); Vagelos Integrated Program in Energy Research (VIPER) at Penn</t>
  </si>
  <si>
    <t>D.J. and K.-H.K. acknowledge primary support from the Air Force Office of Scientific Research (AFOSR) GHz-THz program FA9550-23-1-0391. R.H.O., Y.Z., J.Z., and P.M. acknowledge support from the Army/ARL via the Collaborative for Hierarchical Agile and Responsive Materials (CHARM) under cooperative agreement W911NF-19-2-0119. This work was carried out in part at the University of Pennsylvania Singh Center for Nanotechnology, which is supported by the NSF National Nanotechnology Coordinated Infrastructure Program under grant NNCI-1542153. The authors gratefully acknowledge use of facilities and instrumentation supported by NSF through the University of Pennsylvania Materials Research Science and Engineering Center (MRSEC) (DMR-2309043). Z.H. acknowledges funding support from the Vagelos Integrated Program in Energy Research (VIPER) at Penn.</t>
  </si>
  <si>
    <t>JUN 3</t>
  </si>
  <si>
    <t>10.1021/acsnano.4c03541</t>
  </si>
  <si>
    <t>UQ9N9</t>
  </si>
  <si>
    <t>WOS:001238258200001</t>
  </si>
  <si>
    <t>Xie, MC; Shimogawa, R; Foucher, AC; Stach, EA; Frenkel, AI; Knecht, MR</t>
  </si>
  <si>
    <t>Xie, Maichong; Shimogawa, Ryuichi; Foucher, Alexandre C.; Stach, Eric A.; Frenkel, Anatoly I.; Knecht, Marc R.</t>
  </si>
  <si>
    <t>X-ray Absorption Fine Structure Spectroscopic Interrogation of Catalytic Reaction Kinetics from the Substrate Perspective</t>
  </si>
  <si>
    <t>JOURNAL OF PHYSICAL CHEMISTRY C</t>
  </si>
  <si>
    <t>PALLADIUM CATALYST; HYDRATION; ION</t>
  </si>
  <si>
    <t>Coupling catalyst characterization with reactivity measurements for studying mechanisms is state of the art in catalysis research. X-ray absorption (XAS) and other spectroscopies are limited in their ability to directly link the structure of catalytically active sites with the transformation of reactants that interact with the catalyst surface. We demonstrate that the substrate could play an additional role as a probe of the surface structure of the catalyst. From this, a substrate-centric view on catalytic reactions could be obtained using the same characterization methodology as that exploited for interrogating the catalyst. For demonstration, brominated 4-nitrophenol was probed by Br K-edge XAS at different stages of catalytic nitro reduction. Its reactivity was correlated with both the Pt-Au catalyst structure, probed by Pt- and Au-centric XAS, and electrostatic interactions between the substrate and the peptides covering the nanoparticle surfaces. This concept can be extended to operando studies of a large class of catalysts in which surface exposure can be optimized to drive the reaction.</t>
  </si>
  <si>
    <t>[Xie, Maichong; Knecht, Marc R.] Univ Miami, Dept Chem, Coral Gables, FL 33146 USA; [Shimogawa, Ryuichi; Frenkel, Anatoly I.] SUNY Stony Brook, Dept Mat Sci &amp; Chem Engn, Stony Brook, NY 11794 USA; [Shimogawa, Ryuichi] Mitsubishi Chem Corp, Sci &amp; Innovat Ctr, Yokohama 2278502, Japan; [Foucher, Alexandre C.; Stach, Eric A.] Univ Penn, Dept Mat Sci &amp; Engn, Philadelphia, PA 19104 USA; [Frenkel, Anatoly I.] Brookhaven Natl Lab, Chem Div, Upton, NY 11973 USA; [Knecht, Marc R.] Univ Miami, Dr JT Macdonald Fdn Biomed Nanotechnol Inst, Miami, FL 33136 USA</t>
  </si>
  <si>
    <t>University of Miami; State University of New York (SUNY) System; Stony Brook University; Mitsubishi International Corporation (MIC); Mitsubishi Chemical Holdings Corporation; Mitsubishi Chemical; University of Pennsylvania; United States Department of Energy (DOE); Brookhaven National Laboratory; University of Miami</t>
  </si>
  <si>
    <t>Knecht, MR (corresponding author), Univ Miami, Dept Chem, Coral Gables, FL 33146 USA.;Frenkel, AI (corresponding author), SUNY Stony Brook, Dept Mat Sci &amp; Chem Engn, Stony Brook, NY 11794 USA.;Frenkel, AI (corresponding author), Brookhaven Natl Lab, Chem Div, Upton, NY 11973 USA.;Knecht, MR (corresponding author), Univ Miami, Dr JT Macdonald Fdn Biomed Nanotechnol Inst, Miami, FL 33136 USA.</t>
  </si>
  <si>
    <t>anatoly.frenkel@stonybrook.edu; knecht@miami.edu</t>
  </si>
  <si>
    <t>; Stach, Eric/D-8545-2011; Frenkel, Anatoly/D-3311-2011</t>
  </si>
  <si>
    <t>Shimogawa, Ryuichi/0000-0002-6507-1876; Xie, Maichong/0000-0002-1654-952X; Stach, Eric/0000-0002-3366-2153; Frenkel, Anatoly/0000-0002-5451-1207; Foucher, Alexandre/0000-0001-5042-4002</t>
  </si>
  <si>
    <t>Division of Materials Research [DE-SC0012704]; DOE Office of Science by Brookhaven National Laboratory [DE-SC0012335]; Synchrotron Catalysis Consortium (U.S. DOE, Office of Basic Energy Sciences) [DE-SC0012573]; U.S. Department of Energy, Office of Science, Basic Energy Sciences [NNCI-2025608]; NSF National Nanotechnology Coordinated Infrastructure Program [DMR-1720530, DMR-2309043]; NSF through the University of Pennsylvania Materials Research Science and Engineering Center (MRSEC)</t>
  </si>
  <si>
    <t>Division of Materials Research(National Science Foundation (NSF)NSF - Directorate for Mathematical &amp; Physical Sciences (MPS)); DOE Office of Science by Brookhaven National Laboratory(United States Department of Energy (DOE)); Synchrotron Catalysis Consortium (U.S. DOE, Office of Basic Energy Sciences)(United States Department of Energy (DOE)); U.S. Department of Energy, Office of Science, Basic Energy Sciences(United States Department of Energy (DOE)); NSF National Nanotechnology Coordinated Infrastructure Program; NSF through the University of Pennsylvania Materials Research Science and Engineering Center (MRSEC)(National Science Foundation (NSF))</t>
  </si>
  <si>
    <t>This research used beamline 7-BM of the National Synchrotron Light Source II, a U.S. Department of Energy (DOE) Office of Science User Facility operated for the DOE Office of Science by Brookhaven National Laboratory under Contract No. DE-SC0012704. Beamline operations were supported in part by the Synchrotron Catalysis Consortium (U.S. DOE, Office of Basic Energy Sciences, Grant No. DE-SC0012335). The authors acknowledge beamline support by L. Ma, D. Li, and A. Tayal.Electron microscopy analysis of A.C.F. and E.A.S. was supported as part of the Integrated Mesoscale Architectures for Sustainable Catalysis (IMASC), an Energy Frontier Research Center funded by the U.S. Department of Energy, Office of Science, Basic Energy Sciences under Award #DE-SC0012573. Electron microscopy was performed at the Singh Center for Nanotechnology, which is supported by the NSF National Nanotechnology Coordinated Infrastructure Program under grant NNCI-2025608. Additional support for the NSF through the University of Pennsylvania Materials Research Science and Engineering Center (MRSEC) (DMR-1720530; DMR-2309043).</t>
  </si>
  <si>
    <t>1932-7447</t>
  </si>
  <si>
    <t>1932-7455</t>
  </si>
  <si>
    <t>J PHYS CHEM C</t>
  </si>
  <si>
    <t>J. Phys. Chem. C</t>
  </si>
  <si>
    <t>10.1021/acs.jpcc.5c00463</t>
  </si>
  <si>
    <t>Chemistry, Physical; Nanoscience &amp; Nanotechnology; Materials Science, Multidisciplinary</t>
  </si>
  <si>
    <t>1EV2G</t>
  </si>
  <si>
    <t>WOS:001454575400001</t>
  </si>
  <si>
    <t>Gerra, AJ; Jones, CC; Dillavou, S; Hanlan, JM; Radzio, J; Arratia, PE; Durian, DJ</t>
  </si>
  <si>
    <t>Gerra, Alexander J.; Jones, Courtney C.; Dillavou, Sam; Hanlan, Jesse M.; Radzio, Julia; Arratia, Paulo E.; Durian, Douglas J.</t>
  </si>
  <si>
    <t>Equation of motion for taut-line buzzers</t>
  </si>
  <si>
    <t>Equations of motion are developed for the oscillatory rotation of a disk suspended between twisted strings kept under tension by a hanging mass, to which additional forces may be applied. In the absence of forcing, damped harmonic oscillations are observed to decay with an exponential time envelope for two different string types. This is consistent with damping caused by string viscosity, rather than air turbulence, and may be quantified in terms of a quality factor. To test the proposed equation of motion and model for viscous damping within the string, we measure both the natural oscillation frequency and the quality factor for widely varied values of string length, string radius, disk moment of inertia, and hanging mass. The data are found to scale in good accord with predictions. A variation where rotational kinetic energy is converted back and forth to spring potential energy is also discussed.</t>
  </si>
  <si>
    <t>[Gerra, Alexander J.; Jones, Courtney C.; Dillavou, Sam; Hanlan, Jesse M.; Durian, Douglas J.] Univ Penn, Dept Phys &amp; Astron, Philadelphia, PA 19104 USA; [Gerra, Alexander J.] Moravian Univ, Bethlehem, PA 18018 USA; [Jones, Courtney C.] Univ Maryland Baltimore Cty, Baltimore, MD 21250 USA; [Radzio, Julia; Arratia, Paulo E.; Durian, Douglas J.] Univ Penn, Dept Mech Engn &amp; Appl Mech, Philadelphia, PA 19104 USA</t>
  </si>
  <si>
    <t>University of Pennsylvania; University System of Maryland; University of Maryland Baltimore County; University of Pennsylvania</t>
  </si>
  <si>
    <t>; Durian, Douglas/D-7013-2012</t>
  </si>
  <si>
    <t>Dillavou, Sam/0000-0001-9842-9582; Durian, Douglas/0000-0003-3240-2381; Hanlan, Jesse/0000-0001-8214-5606</t>
  </si>
  <si>
    <t>National Science Foundation (NSF) [REU-Site/DMR-1659512, MRSEC/DMR- 1720530, MRSEC/DMR-2309043]; Center for Computational Biology at the Flatiron Institute, a division of the Simons Foundation; Isaac Newton Institute for Mathematical Sciences under the program New Statistical Physics in Living Matter (Engi- neering and Physical Sciences Research Council (EPSRC)) [EP/R014601/1]</t>
  </si>
  <si>
    <t>National Science Foundation (NSF)(National Science Foundation (NSF)); Center for Computational Biology at the Flatiron Institute, a division of the Simons Foundation; Isaac Newton Institute for Mathematical Sciences under the program New Statistical Physics in Living Matter (Engi- neering and Physical Sciences Research Council (EPSRC))</t>
  </si>
  <si>
    <t>We thank Peter Olmsted for discussions about the molecular origins of string viscosity. This work was sup- ported by the National Science Foundation (NSF) under Grants No. REU-Site/DMR-1659512, No. MRSEC/DMR- 1720530, and No. MRSEC/DMR-2309043. D.J.D. thanks Center for Computational Biology at the Flatiron Institute, a division of the Simons Foundation, as well as the Isaac Newton Institute for Mathematical Sciences under the program New Statistical Physics in Living Matter (Engi- neering and Physical Sciences Research Council (EPSRC) Grant No. EP/R014601/1) , for support and hospitality while a portion of this research was carried out.</t>
  </si>
  <si>
    <t>10.1103/PhysRevApplied.22.014011</t>
  </si>
  <si>
    <t>WOS:001264087700003</t>
  </si>
  <si>
    <t>Zhang, AC; Ohno, K; Composto, RJ</t>
  </si>
  <si>
    <t>Zhang, Aria C.; Ohno, Kohji; Composto, Russell J.</t>
  </si>
  <si>
    <t>Nanoparticle Percolation Improves the Mechanical Properties of Polymer Nanocomposite Films</t>
  </si>
  <si>
    <t>ELASTIC-MODULUS; INDENTATION; HARDNESS</t>
  </si>
  <si>
    <t>Nanoparticle (NP) percolation governs the mechanical reinforcement of polymer nanocomposite (PNC) films. In this study, we demonstrate that both internal network morphology and near-surface morphology of NPs influence the mechanical properties of PNC films composed of poly(methyl methacrylate)-grafted silica nanoparticles (PMMA-NPs) in a poly(styrene-ran-acrylonitrile) (SAN) matrix. By systematically varying film thickness and annealing conditions, we achieve distinct NP morphologies, including continuous pillars, discrete pillars, clusters, and interconnected networks, each exhibiting different levels of NP percolation. Atomic force microscopy nanoindentation reveals that films with interconnected networks exhibit the highest reduced modulus (7.6 GPa), nearly quadrupling that of as-cast films with uniform NP dispersion (1.8 GPa), along with a substantial increase in hardness (624 MPa compared to 298 MPa). Notably, surface NP structures formed during annealing contribute to an enhanced modulus at low loads. These findings establish a direct structure-property relationship, providing insights into designing mechanically robust PNCs for applications in coatings, electronics, and energy storage.</t>
  </si>
  <si>
    <t>[Zhang, Aria C.; Composto, Russell J.] Univ Penn, Dept Mat Sci &amp; Engn, Philadelphia, PA 19104 USA; [Ohno, Kohji] Osaka Metropolitan Univ, Grad Sch Engn, Dept Mat Sci, Sakai, Osaka 5998531, Japan</t>
  </si>
  <si>
    <t>University of Pennsylvania; Osaka Metropolitan University</t>
  </si>
  <si>
    <t>Composto, RJ (corresponding author), Univ Penn, Dept Mat Sci &amp; Engn, Philadelphia, PA 19104 USA.</t>
  </si>
  <si>
    <t>Composto, Russell/0000-0002-5906-2594; Zhang, Aria/0000-0002-7927-7912</t>
  </si>
  <si>
    <t>Division of Materials Research [DMR1905912, DMR2407300, NSF-PIRE-OISE-1545884, NSF-CBET2034122, NSF-NRT2152205]; NSF/DMR Polymers Program; NSF Graduate Research Fellowship program [MRSEC-DMR-2309043]; NSF</t>
  </si>
  <si>
    <t>Division of Materials Research(National Science Foundation (NSF)NSF - Directorate for Mathematical &amp; Physical Sciences (MPS)); NSF/DMR Polymers Program; NSF Graduate Research Fellowship program(National Science Foundation (NSF)); NSF(National Science Foundation (NSF))</t>
  </si>
  <si>
    <t>This work was mainly funded by the NSF/DMR Polymers Program, DMR1905912 and DMR2407300 (RJC, ACZ). Polymer dynamics research was supported by NSF-PIRE-OISE-1545884 (RJC, ACZ), NSF-CBET2034122 (RJC), and NSF-NRT2152205 (RJC, ACZ). ACZ acknowledges support from the NSF Graduate Research Fellowship program. This work utilized characterization tools from the University of Pennsylvania's Nanoscale Characterization Facility, an NNCI member supported by NSF ECCS-1542153 and by NSF MRSEC-DMR-2309043. The authors thank Dr. Matthew Brukman and Dr. Douglas Yates for their help with using the Asylum MFP-3D AFM and JEOL F200 TEM-STEM at the University of Pennsylvania's Nanoscale Characterization Facility. The authors acknowledge helpful discussions with Dr. J. Brandon McClimon, Dr. Eric Stach, Dr. Karen I. Winey, and Dr. Robert A. Riggleman.</t>
  </si>
  <si>
    <t>AUG 19</t>
  </si>
  <si>
    <t>10.1021/acsmacrolett.5c00258</t>
  </si>
  <si>
    <t>6GW3P</t>
  </si>
  <si>
    <t>WOS:001526329200001</t>
  </si>
  <si>
    <t>Marangoni-Induced Honeycomb Structures in Spin-Coated Polymer Nanocomposite Films</t>
  </si>
  <si>
    <t>THIN; CELLS</t>
  </si>
  <si>
    <t>This study investigates Marangoni effect-induced structural changes in spin-coated polymer nanocomposite (PNC) films composed of poly(methyl methacrylate)-grafted silica nanoparticles (NPs) and poly(styrene-ran-acrylonitrile). Films cast from methyl isobutyl ketone (MIBK) solvent exhibit distinct hexagonal honeycomb cells with thickness gradients driven by surface tension variations. Atomic force microscopy reveals protruded ridges and junctions at cell intersections, where NP concentration is the highest. Upon annealing at 155 degrees C, NPs segregate to the surface due to their lower surface energy, and the initially protruding features flatten and eventually form depressed channels while maintaining higher NP density than surrounding areas. Time-of-flight secondary ion mass spectrometry corroborated these findings, highlighting enhanced surface segregation of NPs in MIBK films. These defects can be eliminated using methyl isoamyl ketone (MIAK) as a solvent that produces homogeneous films of uniform thickness. This study highlights the impact of the Marangoni effect on the microstructure and surface properties of PNC films, providing insights for enhancing film quality and performance.</t>
  </si>
  <si>
    <t>Zhang, Aria/0000-0002-7927-7912; Composto, Russell/0000-0002-5906-2594</t>
  </si>
  <si>
    <t>This work was mainly funded by the NSF/DMR Polymers Program, DMR1905912 and DMR2407300 (R.J.C., A.C.Z.). Polymer dynamics research was supported by NSF-PIRE-OISE-1545884 (R.J.C., A.C.Z.), NSF-CBET2034122 (R.J.C.), and NSF-NRT2152205 (R.J.C., A.C.Z.). A.C.Z. acknowledges support from the NSF Graduate Research Fellowship program. This work utilized characterization tools from the University of Pennsylvania's Nanoscale Characterization Facility, an NNCI member supported by NSF ECCS-1542153 and by NSF MRSEC-DMR-2309043. The authors thank Dr. Jamie Ford and Dr. Matthew Brukman for their help with using the TESAN S8000X FIB-SEM and Bruker Icon AFM at the University of Pennsylvania's Nanoscale Characterization Facility. The authors acknowledge Weiwei Kong's assistance with measuring PNC film thicknesses using spectroscopic ellipsometry and helpful discussions with Dr. Christopher Browne, Dr. Eric Stach, Dr. Karen I. Winey, and Dr. Robert A. Riggleman.</t>
  </si>
  <si>
    <t>NOV 28</t>
  </si>
  <si>
    <t>10.1021/acs.jpcb.4c06630</t>
  </si>
  <si>
    <t>P1X9P</t>
  </si>
  <si>
    <t>WOS:001367692300001</t>
  </si>
  <si>
    <t>Pathreeker, S; Snyder, CA; Papamokos, GV; Composto, RJ</t>
  </si>
  <si>
    <t>Pathreeker, Shreyas; Snyder, Colby A.; Papamokos, George V.; Composto, Russell J.</t>
  </si>
  <si>
    <t>Hexagonal Boron Nitride Modulates Crystallinity and Charge Mobility in Poly(ethylene oxide)-NaNO3 Electrolytes</t>
  </si>
  <si>
    <t>SOLID POLYMER ELECTROLYTE; IONIC-CONDUCTIVITY; POLYETHYLENE OXIDE; ETHYLENE-OXIDE; PEO; TRANSPORT; CRYSTALLIZATION; NANOCOMPOSITES; TEMPERATURE; MORPHOLOGY</t>
  </si>
  <si>
    <t>Composite solid polymer electrolytes (CSPEs) for solid-state sodium (Na) batteries are attractive due to their high modulus, good mechanical properties, and overall safety relative to liquid electrolytes. Important CSPE properties, such as crystallinity and ionic conductivity, are closely tied to the physicochemical characteristics of the filler material. In this work, we investigate how 2D hexagonal boron nitride (2D h-BN) flakes influence polymer crystallinity and ionic conductivity in poly(ethylene oxide) (PEO)-based CSPEs for Na-ion conduction using NaNO3 as a model salt. Using X-ray diffraction (XRD), differential scanning calorimetry (DSC), and electrochemical impedance spectroscopy (EIS), we find that polymer crystallinity increases in the presence of the h-BN flakes, whereas the total ionic conductivity decreases relative to h-BN-free samples. Quantum mechanical DFT calculations reveal the ability of h-BN to bind with both ions of the dissociated salt, more strongly so with the Na+ cation, which has hitherto not been reported in the context of Na-based polymer electrolytes. The combined experimental and computational efforts in this work provide key physical insights into the importance of filler geometry and chemical characteristics (i.e., Lewis acidity and Lewis basicity) in the design of CSPEs for Na-ion conduction.</t>
  </si>
  <si>
    <t>[Pathreeker, Shreyas; Snyder, Colby A.; Composto, Russell J.] Univ Penn, Dept Mat Sci &amp; Engn, Philadelphia, PA 19104 USA; [Papamokos, George V.] Harvard Univ, Dept Phys, Cambridge, MA 02138 USA; [Composto, Russell J.] Univ Penn, Dept Chem &amp; Biomol Engn, Philadelphia, PA 19104 USA</t>
  </si>
  <si>
    <t>University of Pennsylvania; Harvard University; University of Pennsylvania</t>
  </si>
  <si>
    <t>; Papamokos, George/S-8889-2019</t>
  </si>
  <si>
    <t>Pathreeker, Shreyas/0000-0001-7589-5345; Papamokos, George/0000-0002-7671-2798; Snyder, Colby/0009-0005-0956-7403; Composto, Russell/0000-0002-5906-2594</t>
  </si>
  <si>
    <t>University of Pennsylvania [NSF-FMRG-2134715]; National Science Foundation (NSF) under Future Manufacturing grant [NSF-DMR-1905912]; Division of Materials Research Polymers Program [NSF-MRSEC-DMR-2309043]; Vagelos Integrated Program in Energy Research (VIPER) undergraduate research program at the University of Pennsylvania [NSF-NNCI-2025608]; NSF National Nanotechnology Coordinated Infrastructure Program</t>
  </si>
  <si>
    <t>University of Pennsylvania; National Science Foundation (NSF) under Future Manufacturing grant(National Science Foundation (NSF)); Division of Materials Research Polymers Program; Vagelos Integrated Program in Energy Research (VIPER) undergraduate research program at the University of Pennsylvania; NSF National Nanotechnology Coordinated Infrastructure Program</t>
  </si>
  <si>
    <t>This research was supported by the National Science Foundation (NSF) under Future Manufacturing grant NSF-FMRG-2134715 (S.P., R.J.C.) with PI Prof. Eric Detsi, the Division of Materials Research Polymers Program under grant NSF-DMR-1905912 (R.J.C.), and the Vagelos Integrated Program in Energy Research (VIPER) undergraduate research program at the University of Pennsylvania (C.A.S.). The authors acknowledge use of the Dual Source and Environmental X-ray Scattering facility operated by the Laboratory for Research on the Structure of Matter at the University of Pennsylvania (NSF-MRSEC-DMR-2309043). Additionally, this work was carried out in part at the Singh Center for Nanotechnology at the University of Pennsylvania, which is supported by the NSF National Nanotechnology Coordinated Infrastructure Program under grant NSF-NNCI-2025608. The computational work in this paper was carried out on the FASRC Cannon cluster supported by the FAS Division of Science Research Computing Group at Harvard University, USA (G.V.P.). The authors thank Prof. Karen I. Winey for use of the potentiostat-frequency response analyzer in her lab, and Dr. Chien-Hua Tu for useful discussions. The authors also thank Dr. Mahadevan Khantha for useful early discussions on DFT calculations.</t>
  </si>
  <si>
    <t>10.1021/acs.jpcc.3c06455</t>
  </si>
  <si>
    <t>EV6L9</t>
  </si>
  <si>
    <t>WOS:001141746300001</t>
  </si>
  <si>
    <t>Stern, M; Dillavou, S; Jayaraman, D; Durian, DJ; Liu, AJ</t>
  </si>
  <si>
    <t>Stern, Menachem; Dillavou, Sam; Jayaraman, Dinesh; Durian, Douglas J.; Liu, Andrea J.</t>
  </si>
  <si>
    <t>Training self-learning circuits for power-efficient solutions</t>
  </si>
  <si>
    <t>APL MACHINE LEARNING</t>
  </si>
  <si>
    <t>CONSUMPTION; MEMRISTOR</t>
  </si>
  <si>
    <t>As the size and ubiquity of artificial intelligence and computational machine learning models grow, the energy required to train and use them is rapidly becoming economically and environmentally unsustainable. Recent laboratory prototypes of self-learning electronic circuits, such as physical learning machines, open the door to analog hardware that directly employs physics to learn desired functions from examples at a low energy cost. In this work, we show that this hardware platform allows for an even further reduction in energy consumption by using good initial conditions and a new learning algorithm. Using analytical calculations, simulations, and experiments, we show that a trade-off emerges when learning dynamics attempt to minimize both the error and the power consumption of the solution-greater power reductions can be achieved at the cost of decreasing solution accuracy. Finally, we demonstrate a practical procedure to weigh the relative importance of error and power minimization, improving the power efficiency given a specific tolerance to error.</t>
  </si>
  <si>
    <t>[Stern, Menachem; Dillavou, Sam; Durian, Douglas J.; Liu, Andrea J.] Univ Penn, Dept Phys &amp; Astron, Philadelphia, PA 19104 USA; [Jayaraman, Dinesh] Univ Penn, Dept Comp &amp; Informat Sci, Philadelphia, PA 19104 USA; [Durian, Douglas J.; Liu, Andrea J.] Simons Fdn, Flatiron Inst, Ctr Computat Biol, New York, NY 10010 USA</t>
  </si>
  <si>
    <t>University of Pennsylvania; University of Pennsylvania; Simons Foundation; Flatiron Institute</t>
  </si>
  <si>
    <t>Stern, M (corresponding author), Univ Penn, Dept Phys &amp; Astron, Philadelphia, PA 19104 USA.</t>
  </si>
  <si>
    <t>nachis@sas.upenn.edu</t>
  </si>
  <si>
    <t>Liu, Andrea/K-3968-2017; Durian, Douglas/D-7013-2012; Jayaraman, Dinesh/AAI-2527-2021; Stern, Menachem/JDM-2372-2023</t>
  </si>
  <si>
    <t>Liu, Andrea/0000-0002-2295-2729; Durian, Douglas/0000-0003-3240-2381; Dillavou, Sam/0000-0001-9842-9582; Jayaraman, Dinesh/0000-0002-6888-3095; Stern, Menachem/0000-0003-0215-8082</t>
  </si>
  <si>
    <t>Basic Energy Scienceshttps://doi.org/10.13039/100006151 [DE-SC0020963]; U.S. Department of Energy, Office of Basic Energy Sciences, Division of Materials Sciences and Engineering Award [MRSEC/DMR-1720530, MRSEC/DMR-DMR-2309043, DMR-2005749]; National Science Foundation via the UPenn [327939]; Simons Foundation; CCB at the Flatiron Institute [EP/R014601/1]; Isaac Newton Institute for Mathematical Sciences under the program New Statistical Physics in Living Matter (EPSRC)</t>
  </si>
  <si>
    <t>Basic Energy Scienceshttps://doi.org/10.13039/100006151; U.S. Department of Energy, Office of Basic Energy Sciences, Division of Materials Sciences and Engineering Award(United States Department of Energy (DOE)); National Science Foundation via the UPenn(National Science Foundation (NSF)); Simons Foundation(Simons Foundation); CCB at the Flatiron Institute; Isaac Newton Institute for Mathematical Sciences under the program New Statistical Physics in Living Matter (EPSRC)(UK Research &amp; Innovation (UKRI)Engineering &amp; Physical Sciences Research Council (EPSRC))</t>
  </si>
  <si>
    <t>We thank Purba Chatterjee, Marc Z. Miskin, and Vijay Balasubramanian for insightful discussions and feedback. This research was supported by the U.S. Department of Energy, Office of Basic Energy Sciences, Division of Materials Sciences and Engineering Award No. DE-SC0020963 (M.S.), the National Science Foundation via the UPenn Nos. MRSEC/DMR-1720530 and MRSEC/DMR-DMR-2309043 (S.D. and D.J.D.), and DMR-2005749 (A.J.L.), and the Simons Foundation (No. 327939 to A.J.L.). D.J.D. and A.J.L. thank CCB at the Flatiron Institute as well as the Isaac Newton Institute for Mathematical Sciences under the program New Statistical Physics in Living Matter (EPSRC Grant No. EP/R014601/1) for support and hospitality while a portion of this research was carried out.</t>
  </si>
  <si>
    <t>2770-9019</t>
  </si>
  <si>
    <t>APL MACH LEARN</t>
  </si>
  <si>
    <t>APL Mach. Learn.</t>
  </si>
  <si>
    <t>MAR 1</t>
  </si>
  <si>
    <t>10.1063/5.0181382</t>
  </si>
  <si>
    <t>Computer Science, Artificial Intelligence; Physics, Applied</t>
  </si>
  <si>
    <t>Computer Science; Physics</t>
  </si>
  <si>
    <t>2VE3C</t>
  </si>
  <si>
    <t>WOS:001492080400022</t>
  </si>
  <si>
    <t>Hu, ZK; Cho, H; Rai, RK; Bao, KF; Zhang, YN; Qu, ZS; He, YF; Ji, YY; Leblanc, C; Kim, KH; Han, ZR; Qiu, Z; Du, XY; Stach, EA; Olsson, R; Jariwala, D</t>
  </si>
  <si>
    <t>Hu, Zekun; Cho, Hyunmin; Rai, Rajeev Kumar; Bao, Kefei; Zhang, Yinuo; Qu, Zhaosen; He, Yunfei; Ji, Yaoyang; Leblanc, Chloe; Kim, Kwan-Ho; Han, Zirun; Qiu, Zhen; Du, Xingyu; Stach, Eric A.; Olsson, Roy; Jariwala, Deep</t>
  </si>
  <si>
    <t>Demonstration of Highly Scaled AlScN Ferroelectric Diode Memory with a Storage Density of &gt;100 Mbit/mm2</t>
  </si>
  <si>
    <t>ferroelectric; storage density; aluminum scandiumnitride; memory; BEOL</t>
  </si>
  <si>
    <t>Wurtzite nitride ferroelectric materials have emerged as promising candidates for next-generation memory applications, due to their exceptional polarization properties and compatibility with conventional semiconductor processing techniques. Here, we demonstrate the first successful areal scaling of aluminum scandium nitride (AlScN) ferroelectric diode (FeDiode) memory down to device diameter of 40 nm while maintaining an ON/OFF ratio of &gt;60. Using a 20-nm-thick Al0.64Sc0.36N ferroelectric layer, we evaluate both metal-insulator-ferroelectric-metal (MIFM) and metal-ferroelectric-metal (MFM) architectures for scaled resistive memory devices. Our scaled devices exhibit an enhanced breakdown-to-coercive field ratio exceeding 2.6 due to increased breakdown field. The MIFM devices demonstrate stable 3-bit nonvolatile multistate behavior with clearly distinguishable resistance states and retention exceeding 4 x 10(4) s at 85 degrees C. By achieving more than a million-fold areal scaling with enhanced performance metrics, this work establishes AlScN-based FeDiode memory as a highly promising platform for nonvolatile storage with potential for direct integration into CMOS technology.</t>
  </si>
  <si>
    <t>[Hu, Zekun; Cho, Hyunmin; Bao, Kefei; Zhang, Yinuo; He, Yunfei; Ji, Yaoyang; Leblanc, Chloe; Kim, Kwan-Ho; Han, Zirun; Qiu, Zhen; Du, Xingyu; Olsson, Roy; Jariwala, Deep] Univ Penn, Dept Elect &amp; Syst Engn, Philadelphia, PA 19104 USA; [Rai, Rajeev Kumar; Stach, Eric A.] Univ Penn, Dept Mat Sci &amp; Engn, Philadelphia, PA 19104 USA; [Qu, Zhaosen] Johns Hopkins Univ, Dept Elect &amp; Comp Engn, Baltimore, MD 21218 USA</t>
  </si>
  <si>
    <t>University of Pennsylvania; University of Pennsylvania; Johns Hopkins University</t>
  </si>
  <si>
    <t>; qiu, zhen/PAU-2465-2025; Jariwala, Deep/E-9913-2013; Han, Zirun/KHE-1260-2024; Stach, Eric/D-8545-2011; du, xingyu/LFV-2002-2024; Kim, Kwan-Ho/IYS-3513-2023; He, Yunfei/GPG-2923-2022</t>
  </si>
  <si>
    <t>He, Yunfei/0009-0005-0544-692X; qiu, zhen/0000-0003-1748-6775; Qu, Zhaosen/0009-0001-0894-4343; Zhang, Yinuo/0009-0006-0078-9664; Hu, Zekun/0000-0002-7838-7001; Leblanc, Chloe/0009-0006-5418-0125; Stach, Eric/0000-0002-3366-2153;</t>
  </si>
  <si>
    <t>Office of Naval Research (ONR) Nanoscale Computing and Devices program [N00014-24-1-2131]; Air Force Office of Scientific Research (AFOSR) GHz-THz Program [FA9550-23-1-0391]; Army/ARL via the Collaborative for Hierarchical Agile and Responsive Materials (CHARM) [W911NF-19-2-0119]; National Science Foundation (NSF) National Nanotechnology Coordinated Infrastructure Program [NNCI-1542153]; NSF through the University of Pennsylvania Materials Research Science and Engineering Center (MRSEC) [DMR-2309043]</t>
  </si>
  <si>
    <t>Office of Naval Research (ONR) Nanoscale Computing and Devices program(United States Department of DefenseUnited States NavyOffice of Naval Research); Air Force Office of Scientific Research (AFOSR) GHz-THz Program(United States Department of DefenseAir Force Office of Scientific Research (AFOSR)); Army/ARL via the Collaborative for Hierarchical Agile and Responsive Materials (CHARM); National Science Foundation (NSF) National Nanotechnology Coordinated Infrastructure Program(National Science Foundation (NSF)); NSF through the University of Pennsylvania Materials Research Science and Engineering Center (MRSEC)(National Science Foundation (NSF))</t>
  </si>
  <si>
    <t>D.J. and Z.H. acknowledge primary support from the Office of Naval Research (ONR) Nanoscale Computing and Devices program (No. N00014-24-1-2131). D.J. and K-H.K. also acknowledge support from the Air Force Office of Scientific Research (AFOSR) GHz-THz Program (Grant No. FA9550-23-1-0391). R.H.O. and Y. Z. acknowledge partial support from the Army/ARL via the Collaborative for Hierarchical Agile and Responsive Materials (CHARM), under Cooperative Agreement No. W911NF-19-2-0119. A portion of the sample fabrication, assembly and characterization were carried out at the Singh Center for Nanotechnology at the University of Pennsylvania, which is supported by the National Science Foundation (NSF) National Nanotechnology Coordinated Infrastructure Program (Grant No. NNCI-1542153). Additional support for the electron microscopy characterization was supported by the NSF through the University of Pennsylvania Materials Research Science and Engineering Center (MRSEC) (No. DMR-2309043).</t>
  </si>
  <si>
    <t>10.1021/acs.nanolett.5c02961</t>
  </si>
  <si>
    <t>7KO4G</t>
  </si>
  <si>
    <t>WOS:001565580500001</t>
  </si>
  <si>
    <t>Kong, WW; Pan, CY; Lin, RY; Fan, MJ; Vohs, JM; Composto, RJ</t>
  </si>
  <si>
    <t>Kong, Weiwei; Pan, Chuyi; Lin, Rongyue; Fan, Mengjie; Vohs, John M.; Composto, Russell J.</t>
  </si>
  <si>
    <t>Investigating polymer infiltration kinetics in nanoporous metal scaffolds using UV-vis spectroscopy</t>
  </si>
  <si>
    <t>SURFACE-PLASMON RESONANCE; DISCRETE-DIPOLE APPROXIMATION; GLASS-TRANSITION TEMPERATURE; DYNAMICS; NANOCOMPOSITES; NANOFLUIDICS; DIFFUSION; FILMS; NANOCONFINEMENT; BEHAVIOR</t>
  </si>
  <si>
    <t>This work demonstrates that the optical response of nanoporous gold (NPG) is directly related to the infiltration extent (IE) of the polymer. Infiltration of poly(2-vinylpyridine) (P2VP) into NPG with a pore radius (Rp) of 34 nm was investigated at 140 degrees C. The UV-vis spectra of the NPG display plasmon absorption peaks due to the Au ligaments that depend on the height of the P2VP infiltration front in the NPG film. During infiltration, the absorption peak position shifts to longer wavelengths, while the peak height, width, and area increase monotonically with time. For P2VP with molecular weights (Mw) from 85 kDa to 940 kDa, the time to reach 80% of the IE (tau 80%) scales as M1.35w, in good agreement with in situ spectroscopic ellipsometer results. AFM and XPS support the strong attraction of P2VP for the Au surface and pores as demonstrated by wetting of P2VP over surface ligaments and a shift of the 4f orbital from the N on P2VP to higher binding energy, respectively. Using nanorods configured as a T to model ligament geometry, discrete dipole approximation (DDA) simulations capture the optical properties of the P2VP/NPG nanocomposite during infiltration and confirm experimental results. The evolution of the P2VP/NPG optical properties is attributed mainly to an increase in the effective refractive index within the pores. This study presents UV-vis spectroscopy as an alternative method for studying polymer infiltration into nanoporous metal scaffold films.</t>
  </si>
  <si>
    <t>[Kong, Weiwei; Pan, Chuyi; Lin, Rongyue; Composto, Russell J.] Univ Penn, Dept Mat Sci &amp; Engn, Philadelphia, PA 19104 USA; [Pan, Chuyi] Univ Penn, Dept Chem, Philadelphia, PA USA; [Fan, Mengjie; Vohs, John M.] Univ Penn, Dept Chem &amp; Biomol Engn, Philadelphia, PA 19104 USA</t>
  </si>
  <si>
    <t>Composto, RJ (corresponding author), Univ Penn, Dept Mat Sci &amp; Engn, Philadelphia, PA 19104 USA.;Vohs, JM (corresponding author), Univ Penn, Dept Chem &amp; Biomol Engn, Philadelphia, PA 19104 USA.</t>
  </si>
  <si>
    <t>Fan, Mengjie/KEH-2580-2024; Vohs, John/C-8246-2019</t>
  </si>
  <si>
    <t>Composto, Russell/0000-0002-5906-2594; Pan, Chuyi/0009-0007-1320-6306; Kong, Weiwei/0000-0002-1044-1163; Lin, Rongyue/0009-0006-3770-6180</t>
  </si>
  <si>
    <t>Division of Materials Research [DMR-1905912, DMR-2407300]; National Science Foundation's (NSF) Division of Materials Research [62482-ND7]; ACS/PRF [2023-24 VIEST]; Vagelos Institute for Energy Science and Technology (VIEST); Vagelos Integrated Program in Energy Research (VIPER) [NNCI-2025608, MRSEC DMR-2309043]; NSF Nanotechnology Coordinated Infrastructure Program</t>
  </si>
  <si>
    <t>Division of Materials Research(National Science Foundation (NSF)NSF - Directorate for Mathematical &amp; Physical Sciences (MPS)); National Science Foundation's (NSF) Division of Materials Research(National Science Foundation (NSF)); ACS/PRF(American Chemical Society); Vagelos Institute for Energy Science and Technology (VIEST); Vagelos Integrated Program in Energy Research (VIPER); NSF Nanotechnology Coordinated Infrastructure Program</t>
  </si>
  <si>
    <t>Experimental studies (CP, WK, RJC) were funded by the National Science Foundation's (NSF) Division of Materials Research under grant DMR-1905912 and DMR-2407300. Partial support was received from ACS/PRF 62482-ND7 (WK, RJC). W. K. acknowledges support from the Vagelos Institute for Energy Science and Technology (VIEST) through the 2023-24 VIEST Graduate Fellowship. C. P. acknowledges support from the Vagelos Integrated Program in Energy Research (VIPER). W. K. and C. P. also acknowledge characterization facilities in Singh Center for Nanotechnology, which is supported by the NSF Nanotechnology Coordinated Infrastructure Program under grant NNCI-2025608 and the Laboratory for Research on the Structure of Matter under grant MRSEC DMR-2309043. The authors would like to thank Professor Eric Detsi for insightful suggestions about modeling the UV-vis spectra.</t>
  </si>
  <si>
    <t>10.1039/d5sm00423c</t>
  </si>
  <si>
    <t>5UM7H</t>
  </si>
  <si>
    <t>WOS:001534082800001</t>
  </si>
  <si>
    <t>The Effect of Boron Nitride Flakes on Sodium Ion Transport in PEO Electrolytes</t>
  </si>
  <si>
    <t>AMORPHOUS CONCENTRATED LIQUID; SOLID POLYMER ELECTROLYTE; CATION SOLVATE STRUCTURES; SEGMENTAL RELAXATION; CONDUCTIVITY; CRYSTALLIZATION; DIFFUSION; MODELS; OXIDE; LI+</t>
  </si>
  <si>
    <t>Improving the total ionic conductivity (sigma) of solid polymer electrolytes (SPEs) is critical to the development of solid-state sodium (Na) batteries. In this work, we investigate the effect of two-dimensional (2D), dual-Lewis hexagonal boron nitride (h-BN) filler on polymer structure and ion transport properties of P(EO)(24):Na+ and P(EO)(4):Na+ mixtures of poly(ethylene oxide) (PEO)-bis (fluorosulfonylimide) (NaFSI). Below the critical percolation concentration threshold for the h-BN flakes, X-ray diffraction and differential scanning calorimetry studies show that an increase in h-BN concentration initially induces an increase in PEO crystallinity followed by a decrease due to competing effects between heterogeneous nucleation of PEO lamellae and its spherulitic confinement, respectively. Raman spectroscopy reveals that h-BN improves NaFSI dissociation in the semi-dilute SPEs which is supported by density functional theory calculations. Our calculations suggest that PEO can almost fully dissociate a NaFSI molecule with a coordination number of 6. We propose an h-BN-assisted mechanism to explain this observation, wherein h-BN aids PEO in better matching the dissociation energy of the NaFSI salt by virtue of its dual-Lewis surface chemistry. A corresponding 4x increase in sigma is observed for the P(EO)(24):Na+ SPEs using electrochemical impedance spectroscopy. The P(EO)(4):Na+ SPEs do not show this increase, which is likely due to a significantly different local solvation environment wherein contact ion pairs and aggregates (AGGs) dominate. Our findings highlight the role of filler chemistry in the design and development of composite solid polymer electrolytes for Na batteries.</t>
  </si>
  <si>
    <t>[Pathreeker, Shreyas; Snyder, Colby A.; Composto, Russell J.] Univ Penn, Sch Engn &amp; Appl Sci, Dept Mat Sci &amp; Engn, Philadelphia, PA 19104 USA; [Papamokos, George V.] Harvard Univ, Harvard John A Paulson Sch Engn &amp; Appl Sci, Dept Phys, Cambridge, MA 02138 USA; [Composto, Russell J.] Univ Penn, Sch Engn &amp; Appl Sci, Dept Chem &amp; Biomol Engn, Philadelphia, PA 19104 USA</t>
  </si>
  <si>
    <t>Composto, RJ (corresponding author), Univ Penn, Sch Engn &amp; Appl Sci, Dept Mat Sci &amp; Engn, Philadelphia, PA 19104 USA.;Composto, RJ (corresponding author), Univ Penn, Sch Engn &amp; Appl Sci, Dept Chem &amp; Biomol Engn, Philadelphia, PA 19104 USA.</t>
  </si>
  <si>
    <t>Composto, Russell/0000-0002-5906-2594; Snyder, Colby/0009-0005-0956-7403; Papamokos, George/0000-0002-7671-2798; Pathreeker, Shreyas/0000-0001-7589-5345</t>
  </si>
  <si>
    <t>National Science Foundation (NSF) under Future Manufacturing grant [NSF-FMRG-2134715]; Division of Materials Research Polymers Program [NSF-DMR-1905912, NSF-DMR-2407300]; Vagelos Integrated Program in Energy Research (VIPER) undergraduate research program at the University of Pennsylvania; University of Pennsylvania [NSF-MRSEC-DMR-2309043]; NSF National Nanotechnology Coordinated Infrastructure Program [NSF-NNCI-2025608]; FAS Division of Science Research Computing Group at Harvard University, USA</t>
  </si>
  <si>
    <t>National Science Foundation (NSF) under Future Manufacturing grant(National Science Foundation (NSF)); Division of Materials Research Polymers Program; Vagelos Integrated Program in Energy Research (VIPER) undergraduate research program at the University of Pennsylvania; University of Pennsylvania; NSF National Nanotechnology Coordinated Infrastructure Program; FAS Division of Science Research Computing Group at Harvard University, USA</t>
  </si>
  <si>
    <t>The authors are grateful to the National Science Foundation (NSF) under Future Manufacturing grant NSF-FMRG-2134715 (S.P., R.J.C.) with PI Prof. E. Detsi, the Division of Materials Research Polymers Program under grants NSF-DMR-1905912 (R.J.C.) and NSF-DMR-2407300 (R.J.C.), and the Vagelos Integrated Program in Energy Research (VIPER) undergraduate research program at the University of Pennsylvania (C.S.) for supporting this work. The authors acknowledge use of the Dual Source and Environmental X-ray Scattering facility operated by the Laboratory for Research on the Structure of Matter at the University of Pennsylvania (NSF-MRSEC-DMR-2309043). Additionally, this work made use of resources at the Singh Center for Nanotechnology at the University of Pennsylvania, which is supported by the NSF National Nanotechnology Coordinated Infrastructure Program under grant NSF-NNCI-2025608. All computational work in this paper was carried out on the FASRC Cannon cluster supported by the FAS Division of Science Research Computing Group at Harvard University, USA (G.P.).</t>
  </si>
  <si>
    <t>AUG 7</t>
  </si>
  <si>
    <t>10.1021/acs.chemmater.4c01192</t>
  </si>
  <si>
    <t>D9C6D</t>
  </si>
  <si>
    <t>WOS:001286270200001</t>
  </si>
  <si>
    <t>Pathreeker, S; Koh, H; Kong, WW; Robinson, R; Weissman, G; Stach, EA; Detsi, E; Composto, RJ</t>
  </si>
  <si>
    <t>Pathreeker, Shreyas; Koh, Hyeongjun; Kong, Weiwei; Robinson, Richard; Weissman, Gillian; Stach, Eric A.; Detsi, Eric; Composto, Russell J.</t>
  </si>
  <si>
    <t>Effect of Confinement on the Structure-Conductivity Relationship in PEO/LiTFSI Electrolytes in 3D Microporous Scaffolds</t>
  </si>
  <si>
    <t>POLY(ETHYLENE OXIDE); IONIC-CONDUCTIVITY; POLYMER DYNAMICS; CRYSTALLIZATION; TEMPERATURE; TRANSPORT; BEHAVIOR</t>
  </si>
  <si>
    <t>Because 3D batteries comprise solid polymer electrolytes (SPEs) confined to porous scaffolds with high surface areas, the interplay between polymer confinement and interfacial interactions on SPE total ionic conductivity must be understood. This paper investigates contributions to the structure-conductivity relationship in poly(ethylene oxide) (PEO)-lithium bis(trifluorosulfonylimide) (LiTFSI) complexes confined to microporous nickel scaffolds. For bulk and confined conditions, PEO crystallinity decreases as the salt concentration (Li+:EO (r) = 0.0125, 0.0167, 0.025, 0.05) increases. For pure PEO and all r values except 0.05, PEO crystallinity under confinement is lower than in the bulk, whereas the glass transition temperature remains statistically invariant. At 298 K (semicrystalline), total ionic conductivity under confinement is higher than in the bulk at r = 0.0167 but remains invariant at r = 0.05; however, at 350 K (amorphous), total ionic conductivity in confinement is lower than in the bulk for both salt concentrations. Time-of-flight secondary ion mass spectrometry indicates selective migration of ions toward the polymer-scaffold interface. In summary, for the 3D structure studied, polymer crystallinity, interfacial segregation, and tortuosity play important roles in determining total ionic conductivity and, ultimately, the emergence of 3D SPEs as energy storage materials.</t>
  </si>
  <si>
    <t>[Pathreeker, Shreyas; Koh, Hyeongjun; Kong, Weiwei; Stach, Eric A.; Detsi, Eric; Composto, Russell J.] Univ Penn, Sch Engn &amp; Appl Sci, Dept Mat Sci &amp; Engn, Philadelphia, PA 19104 USA; [Robinson, Richard; Weissman, Gillian] Xer Adv Battery Corp, Kettering, OH 45420 USA; [Composto, Russell J.] Univ Penn, Sch Engn &amp; Appl Sci, Dept Chem &amp; Biomol Engn, Philadelphia, PA 19104 USA</t>
  </si>
  <si>
    <t>Pathreeker, Shreyas/0000-0001-7589-5345; Stach, Eric/0000-0002-3366-2153; Kong, Weiwei/0000-0002-1044-1163; Weissman, Gillian/0009-0009-1445-8956; Composto, Russell/0000-0002-5906-2594</t>
  </si>
  <si>
    <t>National Science Foundation [NSF-FMRG-2134715]; National Science Foundation (NSF) under Future Manufacturing grant [NSF-DMR-1905912, NSF-DMR-2407300, NSF-MRSEC-DMR-2309043]; Division of Materials Research Polymers Program [NSF-NNCI-2025608]; NSF National Nanotechnology Coordinated Infrastructure Program</t>
  </si>
  <si>
    <t>National Science Foundation(National Science Foundation (NSF)); National Science Foundation (NSF) under Future Manufacturing grant(National Science Foundation (NSF)); Division of Materials Research Polymers Program; NSF National Nanotechnology Coordinated Infrastructure Program</t>
  </si>
  <si>
    <t>The authors gratefully acknowledge financial support from the National Science Foundation (NSF) under Future Manufacturing grant NSF-FMRG-2134715 (SP, RJC, EAS, ED), the Division of Materials Research Polymers Program under grants NSF-DMR-1905912 (RJC) and NSF-DMR-2407300 (RJC). The authors acknowledge use of the Dual Source and Environmental X-Ray Scattering facility operated by the Laboratory for Research on the Structure of Matter at the University of Pennsylvania (NSF-MRSEC-DMR-2309043). This work was carried out in part at the Singh Center for Nanotechnology at the University of Pennsylvania, which is supported by the NSF National Nanotechnology Coordinated Infrastructure Program under grant NSF-NNCI-2025608. The authors thank Prof. Karen I. Winey (Penn) for use of the potentiostat-frequency response analyzer in her lab, and Prof. Murugappan Muthukumar and Prof. Alexei P. Sokolov for helpful discussions. The authors also thank Prof. Nigel Clarke (University of Sheffield), Prof. Yue Qi (Brown University) for suggestions, and Dr. Jamie Ford (Penn) for his insight regarding ToF-SIMS data analysis.</t>
  </si>
  <si>
    <t>10.1021/acsmacrolett.4c00555</t>
  </si>
  <si>
    <t>M6S9C</t>
  </si>
  <si>
    <t>WOS:001347582500001</t>
  </si>
  <si>
    <t>Choi, B; Jo, K; Rahaman, M; Alfieri, A; Lynch, J; Pribil, GK; Koh, H; Stach, EA; Jariwala, D</t>
  </si>
  <si>
    <t>Choi, Bongjun; Jo, Kiyoung; Rahaman, Mahfujur; Alfieri, Adam; Lynch, Jason; Pribil, Greg K.; Koh, Hyeongjun; Stach, Eric A.; Jariwala, Deep</t>
  </si>
  <si>
    <t>Giant Optical Anisotropy in 2D Metal-Organic Chalcogenates</t>
  </si>
  <si>
    <t>MOCHA; mithrene; anisotropy; birefringence; linear dichroism; exciton-polaritons; self-hybridization</t>
  </si>
  <si>
    <t>FEW-LAYER; BIREFRINGENCE; SPECTRA</t>
  </si>
  <si>
    <t>Optical anisotropy is a fundamental attribute of some crystalline materials and is quantified via birefringence. A birefringent crystal gives rise to not only asymmetrical light propagation but also attenuation along two distinct polarizations, a phenomenon called linear dichroism (LD). Two-dimensional (2D) layered materials with high in-plane and out-of-plane anisotropy have garnered interest in this regard. Mithrene, a 2D metal-organic chalcogenate (MOCHA) compound, exhibits strong excitonic resonances due to its naturally occurring multiquantum well (MQW) structure and in-plane anisotropic response in the blue wavelength (similar to 400-500 nm) regime. The MQW structure and the large refractive indices of mithrene allow the hybridization of the excitons with photons to form self-hybridized exciton-polaritons in mithrene crystals with appropriate thicknesses. Here, we report the giant birefringence (similar to 1.01) and the tunable in-plane anisotropic response of mithrene, which stem from its low symmetry crystal structure and strong excitonic properties. We show that the LD in mithrene can be tuned by leveraging the anisotropic exciton-polariton formation via the cavity coupling effect, exhibiting giant in-plane LD (similar to 77.1%) at room temperature. Our results indicate that mithrene is a polaritonic birefringent material for polarization-sensitive nanophotonic applications in the short wavelength regime.</t>
  </si>
  <si>
    <t>[Choi, Bongjun; Jo, Kiyoung; Rahaman, Mahfujur; Alfieri, Adam; Lynch, Jason; Jariwala, Deep] Univ Penn, Dept Elect &amp; Syst Engn, Philadelphia, PA 19104 USA; [Pribil, Greg K.] JA Woollam Co Inc, Lincoln, NE 68508 USA; [Koh, Hyeongjun; Stach, Eric A.; Jariwala, Deep] Univ Penn, Dept Mat Sci &amp; Engn, Philadelphia, PA 19104 USA; [Stach, Eric A.] Univ Penn, Lab Res Struct Matter, Philadelphia, PA 19104 USA</t>
  </si>
  <si>
    <t>University of Pennsylvania; J.A. Woollam Co.; University of Pennsylvania; University of Pennsylvania</t>
  </si>
  <si>
    <t>Rahaman, Mahfujur/A-4435-2018; Stach, Eric/D-8545-2011; Jariwala, Deep/E-9913-2013</t>
  </si>
  <si>
    <t>Rahaman, Mahfujur/0000-0002-3912-8509; Choi, Bongjun/0000-0002-4776-3537; Stach, Eric/0000-0002-3366-2153; Alfieri, Adam/0000-0002-1185-981X; Lynch, Jason/0009-0008-5929-2411;</t>
  </si>
  <si>
    <t>Office of Naval Research Young Investigator Award from Metamaterials Program [N00014-23-1-203]; Asian Office of Aerospace Research and Development of the Air Force Office of Scientific Research (AFOSR) [FA2386-21-1-4063]; Vagelos Institute of Energy Science and Technology Graduate fellowship; Deutsche Forschungsgemeinschaft (DFG, German Research Foundation) [RA 3646/1-1]; NSF National Nanotechnology Coordinated Infrastructure Program [NNCI-2025608]; University of Pennsylvania Materials Research Science and Engineering Center (MRSEC) [DMR-2309043]</t>
  </si>
  <si>
    <t>Office of Naval Research Young Investigator Award from Metamaterials Program(United States Department of DefenseUnited States NavyOffice of Naval Research); Asian Office of Aerospace Research and Development of the Air Force Office of Scientific Research (AFOSR)(United States Department of DefenseAir Force Office of Scientific Research (AFOSR)); Vagelos Institute of Energy Science and Technology Graduate fellowship; Deutsche Forschungsgemeinschaft (DFG, German Research Foundation)(German Research Foundation (DFG)); NSF National Nanotechnology Coordinated Infrastructure Program; University of Pennsylvania Materials Research Science and Engineering Center (MRSEC)</t>
  </si>
  <si>
    <t>D. J. and B.C. acknowledge support from the Office of Naval Research Young Investigator Award from Metamaterials Program (N00014-23-1-203). D.J., A.A., and J.L. also acknowledge partial support from the Asian Office of Aerospace Research and Development of the Air Force Office of Scientific Research (AFOSR) (FA2386-21-1-4063). A.A. acknowledges partial support for the work from the Vagelos Institute of Energy Science and Technology Graduate fellowship. M.R. acknowledges support from Deutsche Forschungsgemeinschaft (DFG, German Research Foundation) for Walter Benjamin Fellowship (award no. RA 3646/1-1). This work was carried out in part at the Singh Center for Nanotechnology, which is supported by the NSF National Nanotechnology Coordinated Infrastructure Program under grant NNCI-2025608 and through the use of facilities supported by the University of Pennsylvania Materials Research Science and Engineering Center (MRSEC) DMR-2309043.</t>
  </si>
  <si>
    <t>AUG 31</t>
  </si>
  <si>
    <t>10.1021/acsnano.4c05043</t>
  </si>
  <si>
    <t>G1P0X</t>
  </si>
  <si>
    <t>WOS:001302861000001</t>
  </si>
  <si>
    <t>Leem, YC; Fang, ZY; Lee, YK; Kim, NY; Kakekhani, A; Liu, WJ; Cho, SP; Kim, C; Wang, YH; Ji, ZR; Patra, A; Kronik, L; Rappe, AM; Yim, SY; Agarwal, R</t>
  </si>
  <si>
    <t>Leem, Young-Chul; Fang, Zhenyao; Lee, Yun-Kyung; Kim, Na-Yeong; Kakekhani, Arvin; Liu, Wenjing; Cho, Sung-Pyo; Kim, Cheolsu; Wang, Yuhui; Ji, Zhurun; Patra, Abhirup; Kronik, Leeor; Rappe, Andrew M.; Yim, Sang-Youp; Agarwal, Ritesh</t>
  </si>
  <si>
    <t>Optically Triggered Emergent Mesostructures in Monolayer WS2</t>
  </si>
  <si>
    <t>WS2 monolayer; polaron; photostriction; microactuator</t>
  </si>
  <si>
    <t>DEFECTS</t>
  </si>
  <si>
    <t>The ultrahigh surface area of two-dimensional materials can drive multimodal coupling between optical, electrical, and mechanical properties that leads to emergent dynamical responses not possible in three-dimensional systems. We observed that optical excitation of the WS2 monolayer above the exciton energy creates symmetrically patterned mechanical protrusions which can be controlled by laser intensity and wavelength. This observed photostrictive behavior is attributed to lattice expansion due to the formation of polarons, which are charge carriers dressed by lattice vibrations. Scanning Kelvin probe force microscopy measurements and density functional theory calculations reveal unconventional charge transport properties such as the spatially and optical intensity-dependent conversion in the WS2 monolayer from apparent n- to p-type and the subsequent formation of effective p-n junctions at the boundaries between regions with different defect densities. The strong opto-electrical-mechanical coupling in the WS2 monolayer reveals previously unexplored properties, which can lead to new applications in optically driven ultrathin microactuators.</t>
  </si>
  <si>
    <t>[Leem, Young-Chul; Liu, Wenjing; Wang, Yuhui; Ji, Zhurun; Agarwal, Ritesh] Univ Penn, Dept Mat Sci &amp; Engn, Philadelphia, PA 19104 USA; [Fang, Zhenyao; Kakekhani, Arvin; Patra, Abhirup; Rappe, Andrew M.] Univ Penn, Dept Chem, Philadelphia, PA 19104 USA; [Lee, Yun-Kyung; Kim, Cheolsu] Pk Syst Corp, Applicat Technol Ctr, Suwon 16229, South Korea; [Kim, Na-Yeong; Yim, Sang-Youp] Gwangju Inst Sci &amp; Technol, Adv Photon Res Inst, Gwangju 61005, South Korea; [Cho, Sung-Pyo] Seoul Natl Univ, Natl Ctr Interuniv Res Facil, Republic Of Korea 08826, South Korea; [Kronik, Leeor] Weizmann Inst Sci, Dept Mol Chem &amp; Mat Sci, IL-7610001 Rehovot, Israel</t>
  </si>
  <si>
    <t>University of Pennsylvania; University of Pennsylvania; Gwangju Institute of Science &amp; Technology (GIST); Seoul National University (SNU); Weizmann Institute of Science</t>
  </si>
  <si>
    <t>Agarwal, R (corresponding author), Univ Penn, Dept Mat Sci &amp; Engn, Philadelphia, PA 19104 USA.;Rappe, AM (corresponding author), Univ Penn, Dept Chem, Philadelphia, PA 19104 USA.;Yim, SY (corresponding author), Gwangju Inst Sci &amp; Technol, Adv Photon Res Inst, Gwangju 61005, South Korea.</t>
  </si>
  <si>
    <t>rappe@sas.upenn.edu; syim@gist.ac.kr; riteshag@seas.upenn.edu</t>
  </si>
  <si>
    <t>Yim, Sang-Youp/GNM-5270-2022; Patra, Abhirup/L-7982-2019; Liu, Wenjing/B-3816-2019; Ji, Zhurun/ACV-1856-2022; Rappe, Andrew/HFZ-8855-2022</t>
  </si>
  <si>
    <t>Yim, Sang-Youp/0000-0001-5503-6957; Patra, Abhirup/0000-0002-2446-8017; Liu, Wenjing/0000-0002-9441-8859; Ji, Zhurun/0000-0002-0751-275X; Fang, Zhenyao/0000-0001-6841-3934;</t>
  </si>
  <si>
    <t>National Science Foundation (NSF) [OMA-1936276]; Office of Naval Research [N00014-22-1-2378]; NSF through the University of Pennsylvania Materials Research Science and Engineering Center (MRSEC) [DMR-2309043]; NSF National Nanotechnology Coordinated Infrastructure Program [NNCI-1542153]; National Research Foundation of Korea (NRF) - Korea government (MSIT) [2020R1F1A1076964]; GIST Research Institute (GRI) - GIST; U.S. Department of Energy, Office of Science, Office of Basic Energy Sciences [DE-FG02-07ER46431]; National Energy Research Scientific Computing Center (NERSC), a U.S. Department of Energy, Office of Science User Facility located at Lawrence Berkeley National Laboratory [DE-AC02-05CH11231]</t>
  </si>
  <si>
    <t>National Science Foundation (NSF)(National Science Foundation (NSF)); Office of Naval Research(United States Department of DefenseUnited States NavyOffice of Naval Research); NSF through the University of Pennsylvania Materials Research Science and Engineering Center (MRSEC)(National Science Foundation (NSF)); NSF National Nanotechnology Coordinated Infrastructure Program; National Research Foundation of Korea (NRF) - Korea government (MSIT)(National Research Foundation of KoreaMinistry of Science, ICT &amp; Future Planning, Republic of KoreaMinistry of Science &amp; ICT (MSIT), Republic of Korea); GIST Research Institute (GRI) - GIST; U.S. Department of Energy, Office of Science, Office of Basic Energy Sciences(United States Department of Energy (DOE)); National Energy Research Scientific Computing Center (NERSC), a U.S. Department of Energy, Office of Science User Facility located at Lawrence Berkeley National Laboratory</t>
  </si>
  <si>
    <t>The experimental and analyses work at the University of Pennsylvania was supported by the National Science Foundation (NSF) (OMA-1936276) and Office of Naval Research (via Grant No. N00014-22-1-2378). This work was partially supported by NSF through the University of Pennsylvania Materials Research Science and Engineering Center (MRSEC) (DMR-2309043)and carried out in part at the Singh Center for Nanotechnology, which is supported by the NSF National Nanotechnology Coordinated Infrastructure Program under grant NNCI-1542153. Experimental work in Korea was supported by the National Research Foundation of Korea (NRF) grant funded by the Korea government (MSIT) (No. 2020R1F1A1076964) and by GIST Research Institute (GRI) grant funded by the GIST. The theoretical work was supported by the U.S. Department of Energy, Office of Science, Office of Basic Energy Sciences, under Award No. DE-FG02-07ER46431. Computational support was provided by the National Energy Research Scientific Computing Center (NERSC), a U.S. Department of Energy, Office of Science User Facility located at Lawrence Berkeley National Laboratory, operated under Contract No. DE-AC02-05CH11231. L.K. thanks the Aryeh and Mintzi Katzman Professorial Chair and the Helen and Martin Kimmel Award for Innovative Investigation.</t>
  </si>
  <si>
    <t>APR 24</t>
  </si>
  <si>
    <t>10.1021/acs.nanolett.4c00358</t>
  </si>
  <si>
    <t>RM2T5</t>
  </si>
  <si>
    <t>WOS:001228022400001</t>
  </si>
  <si>
    <t>Kim, JB; Wang, JH; Chi, YD; Wu, JX; Ng, A; Qiao, GD; Tan, HL; Janowski, M; Walczak, P; Liang, YJ; Yang, S</t>
  </si>
  <si>
    <t>Kim, Jong Bin; Wang, Jinghui; Chi, Yinding; Wu, Jingxian; Ng, Alicia; Qiao, Guanda; Tan, Honglin; Janowski, Miroslaw; Walczak, Piotr; Liang, Yajie; Yang, Shu</t>
  </si>
  <si>
    <t>Elastomeric Micro-Balloons for Remote Control of Cerebral Blood Flow and Real-Time In vivo Imaging of Rodent Brain Response to Hypoperfusion</t>
  </si>
  <si>
    <t>elastomeric micro-balloons; hypoperfusion; in vivo imaging; ischemic stroke; remotely controlled; rodent brain; yield-stress fluids</t>
  </si>
  <si>
    <t>STROKE</t>
  </si>
  <si>
    <t>Current preclinical models of ischemic stroke in mice do not permit simultaneous and continuous in vivo brain imaging during the peri-stroke period, therefore missing critical pathophysiological events that could be pivotal for stroke management at early stages. Here, we report the fabrication of micro-balloons using yield-stress fluids, in which the monolithic elastomeric wall has selectively stiffened regions for controlled inflation and elasticity, depending on the target vessels. A multi-step bubble-casting process successfully creates an inner layer in a channel with a diameter of &lt;300 &amp; micro;m, despite the yield stress defying surface-tension-induced instability. The micro-balloon can expand up to four times its initial diameter, enabling remote control of the blood flow in cerebral arteries in live mice. By allowing continuous control of the common carotid artery diameter across different states to induce stroke in a precise, reliable, and reversible manner, the micro-balloon recapitulates clinically relevant hemodynamics in a mouse model of global brain ischemia, as evidenced by real-time intravital microscopy and magnetic resonance imaging. The presented micro-balloons hold significant potential to improve the treatment of stroke patients through minimally invasive interventions and in vivo imaging of pathophysiological events during the peri-stroke phase.</t>
  </si>
  <si>
    <t>[Kim, Jong Bin; Chi, Yinding; Wu, Jingxian; Ng, Alicia; Yang, Shu] Univ Penn, Dept Mat Sci &amp; Engn, Philadelphia, PA 19104 USA; [Wang, Jinghui; Qiao, Guanda; Tan, Honglin; Janowski, Miroslaw; Walczak, Piotr; Liang, Yajie] Univ Maryland, Dept Diag Radiol &amp; Nucl Med, Sch Med, Baltimore, MD 20742 USA</t>
  </si>
  <si>
    <t>University of Pennsylvania; University System of Maryland; University of Maryland Baltimore</t>
  </si>
  <si>
    <t>Yang, S (corresponding author), Univ Penn, Dept Mat Sci &amp; Engn, Philadelphia, PA 19104 USA.;Walczak, P; Liang, YJ (corresponding author), Univ Maryland, Dept Diag Radiol &amp; Nucl Med, Sch Med, Baltimore, MD 20742 USA.</t>
  </si>
  <si>
    <t>PWalczak@som.umaryland.edu; Yajie.Liang@som.umaryland.edu; shuyang@seas.upenn.edu</t>
  </si>
  <si>
    <t>Walczak, Piotr/B-8707-2008; Qiao, Guanda/LMO-1291-2024</t>
  </si>
  <si>
    <t>Walczak, Piotr/0000-0002-3733-3322; Janowski, Miroslaw/0000-0001-5261-7975</t>
  </si>
  <si>
    <t>National Science Foundation, Materials Research Science and Engineering Center [DMR-2309043]; National Institutes of Health [R21AG077631, R03NS123733, R03NS128459, R21AG074978, R01DA056739]; Maryland Stem Cell Research Fund [024-MSCRFD-6363, 2022-MSCRFL-5893, 2022-MSCRFD-5886, 2024-MSCRFF-6328]</t>
  </si>
  <si>
    <t>National Science Foundation, Materials Research Science and Engineering Center(National Science Foundation (NSF)); National Institutes of Health(United States Department of Health &amp; Human ServicesNational Institutes of Health (NIH) - USA); Maryland Stem Cell Research Fund</t>
  </si>
  <si>
    <t>This work was supported by the National Institutes of Health (R21AG077631, R03NS123733, R03NS128459, and R21AG074978 to Y.L. and R01DA056739 to P.W.), the Maryland Stem Cell Research Fund (2024-MSCRFD-6363 and 2022-MSCRFL-5893 to Y.L. and 2022-MSCRFD-5886 to P.W.), the National Science Foundation (NSF)'s Materials Research Science and Engineering Center (MRSEC) at the University of Pennsylvania (DMR-2309043 to S.Y.), and the Maryland Stem Cell Research Fund (2024-MSCRFF-6328 to J. W.).</t>
  </si>
  <si>
    <t>2026 APR 21</t>
  </si>
  <si>
    <t>10.1002/adma.202518525</t>
  </si>
  <si>
    <t>GT8YI</t>
  </si>
  <si>
    <t>WOS:001744939400001</t>
  </si>
  <si>
    <t>Modi, G; Parate, SK; Kwon, C; Meng, AC; Khandelwal, U; Tullibilli, A; Horwath, J; Davies, PK; Stach, EA; Li, J; Nukala, P; Agarwal, R</t>
  </si>
  <si>
    <t>Modi, Gaurav; Parate, Shubham K.; Kwon, Choah; Meng, Andrew C.; Khandelwal, Utkarsh; Tullibilli, Anudeep; Horwath, James; Davies, Peter K.; Stach, Eric A.; Li, Ju; Nukala, Pavan; Agarwal, Ritesh</t>
  </si>
  <si>
    <t>Electrically driven long-range solid-state amorphization in ferroic In2Se3</t>
  </si>
  <si>
    <t>NATURE</t>
  </si>
  <si>
    <t>TRANSITION; DYNAMICS</t>
  </si>
  <si>
    <t>Electrically induced amorphization is uncommon and has so far been realized by pulsed electrical current in only a few material systems, which are mostly based on the melt-quench process1. However, if the melting step can be avoided and solid-state amorphization can be realized electrically, it opens up the possibility for low-power device applications2-5. Here we report an energy-efficient, unconventional long-range solid-state amorphization in a new ferroic beta ''-phase of indium selenide nanowires through the application of a direct-current bias rather than a pulsed electrical stimulus. The complex interplay of the applied electric field perpendicular to the polarization, current flow parallel to the van der Waals layer and piezoelectric stress results in the formation of interlayer sliding defects and coupled disorder induced by in-plane polarization rotation in this layered material. On reaching a critical limit of the electrically induced disorder, the structure becomes frustrated and locally collapses into an amorphous phase6, and this phenomenon is replicated over a much larger microscopic-length scale through acoustic jerks7,8. Our work uncovers previously unknown multimodal coupling mechanisms of the ferroic order in materials to the externally applied electric field, current and internally generated stress, and can be useful to design new materials and devices for low-power electronic and photonic applications. Energy-efficient, solid-state amorphization of indium selenide nanowires is achieved using direct current, avoiding the melt-quench process.</t>
  </si>
  <si>
    <t>[Modi, Gaurav; Meng, Andrew C.; Khandelwal, Utkarsh; Horwath, James; Davies, Peter K.; Stach, Eric A.; Agarwal, Ritesh] Univ Penn, Dept Mat Sci &amp; Engn, Philadelphia, PA 19104 USA; [Parate, Shubham K.; Tullibilli, Anudeep; Nukala, Pavan] Indian Inst Sci, Ctr Nanosci &amp; Engn, Bengaluru, India; [Kwon, Choah; Li, Ju] MIT, Dept Mat Sci &amp; Engn, Cambridge, MA USA</t>
  </si>
  <si>
    <t>University of Pennsylvania; Indian Institute of Science (IISC) - Bangalore; Massachusetts Institute of Technology (MIT)</t>
  </si>
  <si>
    <t>Agarwal, R (corresponding author), Univ Penn, Dept Mat Sci &amp; Engn, Philadelphia, PA 19104 USA.;Nukala, P (corresponding author), Indian Inst Sci, Ctr Nanosci &amp; Engn, Bengaluru, India.</t>
  </si>
  <si>
    <t>pnukala@iisc.ac.in; riteshag@seas.upenn.edu</t>
  </si>
  <si>
    <t>Stach, Eric/D-8545-2011; Meng, Andrew/HNJ-5807-2023; Nukala, Pavan/O-3562-2017; Modi, Gaurav/KVY-8192-2024; Li, Ju/A-2993-2008</t>
  </si>
  <si>
    <t>Stach, Eric/0000-0002-3366-2153; Modi, Gaurav/0000-0001-6883-814X; Li, Ju/0000-0002-7841-8058; Parate, Shubham Kumar/0009-0004-5991-9609</t>
  </si>
  <si>
    <t>ONR-MURI [N00014-17-1-2661]; US NSF [2328743]; US Air Force Office of Scientific Research [FA9550-23-1-0189, CRG/2022/003506, NSF-MRSEC/DMR-2309043]; Indian Institute of Science (IISc) start-up seed grant; Infosys young researcher award; NSF National Nanotechnology Coordinated Infrastructure Program [NNCI-2025608]; University of Pennsylvania Materials Research Science and Engineering Center (MRSEC) [DMR-1720530]</t>
  </si>
  <si>
    <t>ONR-MURI(MURIUnited States Department of DefenseUnited States NavyOffice of Naval Research); US NSF(National Science Foundation (NSF)); US Air Force Office of Scientific Research(United States Department of DefenseAir Force Office of Scientific Research (AFOSR)); Indian Institute of Science (IISc) start-up seed grant; Infosys young researcher award; NSF National Nanotechnology Coordinated Infrastructure Program; University of Pennsylvania Materials Research Science and Engineering Center (MRSEC)</t>
  </si>
  <si>
    <t>This work was supported by the ONR-MURI (grant no. N00014-17-1-2661) and partially supported by the US NSF (FuSe; no. 2328743), US Air Force Office of Scientific Research (award no. FA9550-23-1-0189) and ANRF-SERB:CRG/2022/003506, Government of India. Support from NSF-MRSEC/DMR-2309043 seed grant is also acknowledged. P.N. acknowledges Indian Institute of Science (IISc) start-up seed grant and Infosys young researcher award. Electron microscopy and PFM measurements were carried out at the Advanced Facility for Microscopy and Microanalysis and the Micro Nano Characterization Facility in IISc. Device fabrication work and electron microscopy was conducted at the Singh Center for Nanotechnology, which is supported by the NSF National Nanotechnology Coordinated Infrastructure Program under grant no. NNCI-2025608 and through the University of Pennsylvania Materials Research Science and Engineering Center (MRSEC) (grant no. DMR-1720530). P.N. and S.K.P. are grateful for the support received from V. Dey in setting up a robust biasing system for the in situ TEM experiments.</t>
  </si>
  <si>
    <t>0028-0836</t>
  </si>
  <si>
    <t>1476-4687</t>
  </si>
  <si>
    <t>Nature</t>
  </si>
  <si>
    <t>10.1038/s41586-024-08156-8</t>
  </si>
  <si>
    <t>O0D5Q</t>
  </si>
  <si>
    <t>WOS:001349703300004</t>
  </si>
  <si>
    <t>Yang, K; Lee, Y; Rhee, D; Choi, B; Alfieri, A; Drndic, M; Jariwala, D; Lee, GH</t>
  </si>
  <si>
    <t>Yang, Kyungmin; Lee, Yuna; Rhee, Dongjoon; Choi, Bongjun; Alfieri, Adam; Drndic, Marija; Jariwala, Deep; Lee, Gwan-Hyoung</t>
  </si>
  <si>
    <t>Geometrically Confined Strain Engineering of MoS2 via Quasi-Van Der Waals Recrystallization of Gold Nanopillars</t>
  </si>
  <si>
    <t>ADVANCED SCIENCE</t>
  </si>
  <si>
    <t>2D materials; funnel effect; gold nanopillars; purcell effect; strain engineering</t>
  </si>
  <si>
    <t>MONOLAYER; PHOTOLUMINESCENCE; TRANSITION; BANDGAP</t>
  </si>
  <si>
    <t>Transition metal dichalcogenides (TMDs) are promising materials for next-generation electronics due to their atomically thin body and exceptional optoelectronic properties. Their ultrathin and stiff nature make them highly sensitive to strain, enabling modulation of lattice and band structures and enhancing carrier mobility via tensile strain. While uniform strain degrades optical properties of MoS2 due to the indirect bandgap, localized strain enhances them through the funnel effect, highlighting the importance of localized strain engineering. In this study, localized strain is achieved in monolayer MoS2 using geometrically confined quasi-van der Waals (qvdW) recrystallization of patterned gold nanopillars. After transferring hBN-encapsulated MoS2 onto the pillars and annealing, the gold recrystallizes into thicker, more crystalline structures, inducing approximate to 0.15% local tensile strain. This results in a 65-fold increase in photoluminescence (PL) intensity due to the funnel effect, Fabry-P &amp; eacute;rot interference, and Purcell effect. Additionally, field-effect mobility is significantly enhanced to 100 cm2V-1s-1, a two-order of magnitude improvement. The work shows a way to apply local strain in MoS2 using geometrically confined gold pillars via qvdW recrystallization, offering a possibility for advanced optoelectronic devices.</t>
  </si>
  <si>
    <t>[Yang, Kyungmin; Lee, Yuna; Lee, Gwan-Hyoung] Seoul Natl Univ, Dept Mat Sci &amp; Engn, Seoul 08826, South Korea; [Rhee, Dongjoon; Choi, Bongjun; Alfieri, Adam; Jariwala, Deep] Univ Penn, Dept Elect &amp; Syst Engn, Philadelphia, PA 19104 USA; [Drndic, Marija] Univ Penn, Dept Phys &amp; Astron, Philadelphia, PA 19104 USA</t>
  </si>
  <si>
    <t>Seoul National University (SNU); University of Pennsylvania; University of Pennsylvania</t>
  </si>
  <si>
    <t>Lee, GH (corresponding author), Seoul Natl Univ, Dept Mat Sci &amp; Engn, Seoul 08826, South Korea.</t>
  </si>
  <si>
    <t>gwanlee@snu.ac.kr</t>
  </si>
  <si>
    <t>Lee, Gwan-Hyoung/Q-9141-2016; Jariwala, Deep/E-9913-2013</t>
  </si>
  <si>
    <t>Lee, Gwan-Hyoung/0000-0002-3028-867X; Rhee, Dongjoon/0000-0003-3613-7503;</t>
  </si>
  <si>
    <t>National Research Foundation (NRF) of Korea Grant - Korean Government [2021R1A2C3014316, 2021R1A6C101B418]; Ministry of Education; Creative-Pioneering Researchers Program through Seoul National University; Creative-Pioneering Researchers Program through Seoul National University (SNU); Research Institute of Advanced Materials (RIAM); Institute of Engineering Research (IER); Institute of Applied Physics (IAP); SOFT Foundry Institute; Inter-University Semiconductor Research Center (ISRC) at the Seoul National University; NSF [N00014-24-1-2131]; Office of Naval Research (ONR) Nanoscale Computing and Devices program; University of Pennsylvania Materials Research Science and Engineering Center (MRSEC) [FA9550-23-1-0391]; Air Force Office of Scientific Research (AFOSR) GHz-THz program; DOE [DE-SC0023224]; Office of Naval Research Young Investigator [N00014-23-1-203]; University of Pennsylvania Vagelos Institute for Energy Science and Technology; [DMR-2429281]; [DMR-2309043]; U.S. Department of Energy (DOE) [DE-SC0023224] Funding Source: U.S. Department of Energy (DOE)</t>
  </si>
  <si>
    <t>National Research Foundation (NRF) of Korea Grant - Korean Government(National Research Foundation of Korea); Ministry of Education; Creative-Pioneering Researchers Program through Seoul National University; Creative-Pioneering Researchers Program through Seoul National University (SNU); Research Institute of Advanced Materials (RIAM); Institute of Engineering Research (IER); Institute of Applied Physics (IAP); SOFT Foundry Institute; Inter-University Semiconductor Research Center (ISRC) at the Seoul National University; NSF(National Science Foundation (NSF)); Office of Naval Research (ONR) Nanoscale Computing and Devices program(United States Department of DefenseUnited States NavyOffice of Naval Research); University of Pennsylvania Materials Research Science and Engineering Center (MRSEC); Air Force Office of Scientific Research (AFOSR) GHz-THz program(United States Department of DefenseAir Force Office of Scientific Research (AFOSR)); DOE(United States Department of Energy (DOE)); Office of Naval Research Young Investigator(United States Department of DefenseUnited States NavyOffice of Naval Research); University of Pennsylvania Vagelos Institute for Energy Science and Technology; ; ; U.S. Department of Energy (DOE)</t>
  </si>
  <si>
    <t>This work was supported by the National Research Foundation (NRF) of Korea Grant funded by the Korean Government (2021R1A2C3014316), core center program (2021R1A6C101B418) by the Ministry of Education, and the Creative-Pioneering Researchers Program through Seoul National University. G.H.L. acknowledges the support from the Creative-Pioneering Researchers Program through Seoul National University (SNU), the Research Institute of Advanced Materials (RIAM), Institute of Engineering Research (IER), Institute of Applied Physics (IAP), SOFT Foundry Institute and the Inter-University Semiconductor Research Center (ISRC) at the Seoul National University. D.J. acknowledges support from Office of Naval Research (ONR) Nanoscale Computing and Devices program (N00014-24-1-2131) and the Air Force Office of Scientific Research (AFOSR) GHz-THz program grant number FA9550-23-1-0391. M.D. acknowledges primary support from the DOE grant DE-SC0023224. B.C. acknowledges support from the Office of Naval Research Young Investigator Award (N00014-23-1-203). AA recognizes partial support from the University of Pennsylvania Vagelos Institute for Energy Science and Technology, NSF DMR-2429281, and University of Pennsylvania Materials Research Science and Engineering Center (MRSEC) DMR-2309043 Seed program.</t>
  </si>
  <si>
    <t>2198-3844</t>
  </si>
  <si>
    <t>ADV SCI</t>
  </si>
  <si>
    <t>Adv. Sci.</t>
  </si>
  <si>
    <t>e06488</t>
  </si>
  <si>
    <t>10.1002/advs.202506488</t>
  </si>
  <si>
    <t>Chemistry, Multidisciplinary; Nanoscience &amp; Nanotechnology; Materials Science, Multidisciplinary</t>
  </si>
  <si>
    <t>9ME1Z</t>
  </si>
  <si>
    <t>WOS:001546684600001</t>
  </si>
  <si>
    <t>Kumar, SS; Leadbetter, T; Mcclimon, JB; Lema, MA; Khan, FM; Purohit, PK; Braunschweig, AB; Carpick, RW</t>
  </si>
  <si>
    <t>Kumar, Sumit Sunil; Leadbetter, Travis; Mcclimon, J. Brandon; Lema, Manuel A.; Khan, Farhana M.; Purohit, Prashant K.; Braunschweig, Adam B.; Carpick, Robert W.</t>
  </si>
  <si>
    <t>Interfacial Yield Stress Response in Synthetic Mucin Solutions</t>
  </si>
  <si>
    <t>biomimetic; biopolymer; gelation; mucus; rheology; synthetic mucins</t>
  </si>
  <si>
    <t>GASTROPOD PEDAL MUCUS; PHYSICAL-PROPERTIES; FORCE SPECTROSCOPY; SHEAR; PH; BEHAVIOR; SUSPENSIONS; DYNAMICS; ADHESIVE; RHEOLOGY</t>
  </si>
  <si>
    <t>The solution rheology of a fully synthetic, monodisperse mucin that mimics the glycosylated domains of natural mucins, poly(beta-Gal-Thr)22, is studied to systematically explore relationships between polymer structure, solution conditions, and rheological properties. Using standard cone-plate rheometry, shear thinning is observed over a range of concentrations, with an apparent yield stress-typical for gels-evident at the highest concentrations. This is surprising given the dilute, weakly interacting nature of the solutions and the lack of observable structure in cryogenic electron microscopy and particle tracking microrheology. However, interfacial rheometry demonstrates that the gel-like behavior is attributable to a thin structured layer at the air-water interface, without any bulk gelation. This is attributed to an interfacial layer formed by inter-mucin H-bonds that yields when sheared. A computational model using kinetic Monte Carlo (kMC) simulations qualitatively reproduces the yield stress response of such a network through an intermolecular bonding potential. An analytical model of stochastic bond formation and breaking, validated by the kMC simulations, demonstrates that having multiple bonding sites per mucin with a force-dependent debonding rate aligns with experiments, consistent with intermolecular interactions for other mucin proteins. This suggests that in mucin solutions, gelation may begin at the air-water interface, and emphasizes the need for multitechnique validation when exploring structural cues of mucus gelation through rheometry.</t>
  </si>
  <si>
    <t>[Kumar, Sumit Sunil; Mcclimon, J. Brandon; Purohit, Prashant K.; Carpick, Robert W.] Univ Penn, Dept Mech Engn &amp; Appl Mech, Philadelphia, PA 19104 USA; [Leadbetter, Travis] Univ Penn, Grad Grp Appl Math &amp; Computat Sci, Philadelphia, PA 19104 USA; [Lema, Manuel A.; Khan, Farhana M.; Braunschweig, Adam B.] CUNY, Adv Sci Res Ctr, Grad Ctr, New York, NY 10031 USA; [Lema, Manuel A.; Khan, Farhana M.; Braunschweig, Adam B.] Hunter Coll, Dept Chem, New York, NY 10065 USA; [Lema, Manuel A.; Braunschweig, Adam B.] City Univ New York, Grad Ctr, PhD Program Chem, New York, NY 10016 USA; [Lema, Manuel A.; Khan, Farhana M.; Braunschweig, Adam B.] Nomi Mat Corp, New York, NY 10040 USA; [Braunschweig, Adam B.] City Univ New York, PhD Program Biochem, Grad Ctr, New York, NY 10016 USA</t>
  </si>
  <si>
    <t>University of Pennsylvania; University of Pennsylvania; City University of New York (CUNY) System; City University of New York (CUNY) System; Hunter College (CUNY); City University of New York (CUNY) System; City University of New York (CUNY) System</t>
  </si>
  <si>
    <t>Carpick, RW (corresponding author), Univ Penn, Dept Mech Engn &amp; Appl Mech, Philadelphia, PA 19104 USA.</t>
  </si>
  <si>
    <t>carpick@seas.upenn.edu</t>
  </si>
  <si>
    <t>LEMA, MANUEL/HGD-1338-2022; Carpick, Robert/NWH-2471-2025</t>
  </si>
  <si>
    <t>Carpick, Robert/0000-0002-3235-3156; Kumar, Sumit Sunil/0009-0008-4594-188X; Braunschweig, Adam/0000-0003-0344-3029</t>
  </si>
  <si>
    <t>National Science Foundation [DMR 2212139, DMR 2212162, TI 2304237]; National Science Foundation (NSF) [FA9550-23-2-0230, FA9550-18-1-0142]; U.S. Air Force Office of Scientific Research; Llewellyn Fellowship from CUNY [NSF-MRI-1920156]; NSF Major Instrumentation Award; Laboratory for Research on the Structure of Matter [DMR-2309043]; NSF through the University of Pennsylvania Materials research Science and Engineering Center (MRSEC) [NNCI-2025608]; NSF National Nanotechnology Coordinated Infrastructure Program</t>
  </si>
  <si>
    <t>National Science Foundation(National Science Foundation (NSF)); National Science Foundation (NSF)(National Science Foundation (NSF)); U.S. Air Force Office of Scientific Research(United States Department of DefenseAir Force Office of Scientific Research (AFOSR)); Llewellyn Fellowship from CUNY; NSF Major Instrumentation Award; Laboratory for Research on the Structure of Matter; NSF through the University of Pennsylvania Materials research Science and Engineering Center (MRSEC)(National Science Foundation (NSF)); NSF National Nanotechnology Coordinated Infrastructure Program</t>
  </si>
  <si>
    <t>This work was supported by National Science Foundation (NSF) through the grant DMR 2212139 to A.B.B. and grant DMR 2212162 to R.W.C. and P.K.P.; the NSF through grant TI 2304237 to M.A.L., A.B.B., and F.M.K, and the U.S. Air Force Office of Scientific Research through grants FA9550-23-2-0230 and FA9550-18-1-0142 to A.B.B. and a Llewellyn Fellowship from CUNY (M.A.L.). The authors acknowledge Dr. Paulo Arratia for the use of the rheometer which is part of the NSF Major Instrumentation Award NSF-MRI-1920156. The authors acknowledge the use of facilities supported by the Laboratory for Research on the Structure of Matter and the NSF through the University of Pennsylvania Materials research Science and Engineering Center (MRSEC) DMR-2309043. This work was carried out in part at the Singh Center for Nanotechnology, which is supported by the NSF National Nanotechnology Coordinated Infrastructure Program under grant NNCI-2025608.</t>
  </si>
  <si>
    <t>10.1002/admi.202500066</t>
  </si>
  <si>
    <t>4JF8V</t>
  </si>
  <si>
    <t>WOS:001419028100001</t>
  </si>
  <si>
    <t>Kong, WW; Neuman, A; Moore, L; Lee, DY; Riggleman, RA; Composto, RJ</t>
  </si>
  <si>
    <t>Kong, Weiwei; Neuman, Anastasia; Moore, Laetitia; Lee, Daeyeon; Riggleman, Robert A.; Composto, Russell J.</t>
  </si>
  <si>
    <t>Polymer-Wall Interactions Slow Infiltration Dynamics in Bicontinuous, Nanoporous Structures</t>
  </si>
  <si>
    <t>GLASS-TRANSITION TEMPERATURE; CAPILLARY RISE; NANOPARTICLE FILMS; DIFFUSION; CHAIN; MELTS; NANOCOMPOSITES; SUPPRESSION; BEHAVIOR; IMPACT</t>
  </si>
  <si>
    <t>Polymer infiltration is studied in a bicontinuous nanoporous gold (NPG) scaffold. For poly(2-vinylpyridine) (P2VP) with molecular weights (M w ) ranging from 51k to 940k Da, infiltration is investigated in an NPG with a fixed pore radius (R p = 34 nm) under moderate confinement (Gamma = R g/R p) 0.18 to 0.78. The time for 80% infiltration (tau 80%) scales as M w 1.43, similar to PS, but weaker than the bulk behavior. Infiltration of P2VP is slower than PS due to stronger P2VP-wall interactions resulting in a physisorbed P2VP layer. This interpretation is supported by the similar scaling of tau 80% for P2VP and PS, as well as molecular dynamics (MD) simulations. Simulations show that infiltration time scales as M w 1.4 and that infiltration slows as the polymer-wall attraction increases. As M w increases, the effective viscosity transitions from greater than to less than the bulk viscosity due to pore narrowing and a reduction in entanglement density. These studies provide new insight into polymer behavior under confinement and a new route for preparing nanocomposites at high filler loadings.</t>
  </si>
  <si>
    <t>[Kong, Weiwei; Composto, Russell J.] Univ Penn, Dept Mat Sci &amp; Engn, Philadelphia, PA 19104 USA; [Neuman, Anastasia; Moore, Laetitia; Lee, Daeyeon; Riggleman, Robert A.] Univ Penn, Dept Chem &amp; Biomol Engn, Philadelphia, PA 19104 USA</t>
  </si>
  <si>
    <t>Neuman, Anastasia/0000-0002-2315-9546; Composto, Russell/0000-0002-5906-2594; Kong, Weiwei/0000-0002-1044-1163</t>
  </si>
  <si>
    <t>National Science Foundation [DMR-1905912, DMR-2407300]; National Science Foundation's (NSF) Division of Materials Research [62482-ND7]; ACS Petroleum Research Fund under ACS/PRF [62482-ND7]; ACS/PRF [CBET-1933704]; NSF Process Systems [2023-24 VIEST]; Vagelos Institute for Energy Science and Technology (VIEST) [NSF MRSEC DMR-2309043]; NSF Graduate Research Fellowship Program [17-25969]; NSF MRI [W911NF17-1-0282]; ARO DURIP grant; University of Pennsylvania [NNCI-2025608, MAT230002]; NSF Nanotechnology Coordinated Infrastructure Program; Advanced Cyberinfrastructure Coordination Ecosystem: Services &amp; Support (ACCESS) Program [2138259, 2138286, 2138307, 2137603, 2138296]; National Science Foundation</t>
  </si>
  <si>
    <t>National Science Foundation(National Science Foundation (NSF)); National Science Foundation's (NSF) Division of Materials Research(National Science Foundation (NSF)); ACS Petroleum Research Fund under ACS/PRF; ACS/PRF(American Chemical Society); NSF Process Systems; Vagelos Institute for Energy Science and Technology (VIEST); NSF Graduate Research Fellowship Program(National Science Foundation (NSF)); NSF MRI(National Science Foundation (NSF)NSF - Office of the Director (OD)); ARO DURIP grant; University of Pennsylvania; NSF Nanotechnology Coordinated Infrastructure Program; Advanced Cyberinfrastructure Coordination Ecosystem: Services &amp; Support (ACCESS) Program; National Science Foundation(National Science Foundation (NSF))</t>
  </si>
  <si>
    <t>Experimental studies (W.K., R.J.C.) were funded by the National Science Foundation's (NSF) Division of Materials Research under grant DMR-1905912 and DMR-2407300. The experimental section of this work was also supported by the donors of the ACS Petroleum Research Fund under ACS/PRF 62482-ND7. R.J.C. served as a principal investigator on ACS/PRF 62482-ND7 that provided support for W.K. Simulation work (A.N., R.A.R., D.L.) was supported by the NSF Process Systems, Reaction Engineering, and Molecular Thermodynamics Program (CBET-1933704). W.K. acknowledges support from the Vagelos Institute for Energy Science and Technology (VIEST) through the 2023-24 VIEST Graduate Fellowship. A.N. received support from the NSF Graduate Research Fellowship Program. W.K. acknowledges the usage of the Dual Source and Environmental X-ray Scattering (DEXS) facility operated by the Laboratory for Research on the Structure of Matter at the University of Pennsylvania (NSF MRSEC DMR-2309043). The DEXS equipment purchase was made possible by NSF MRI grant (17-25969), an ARO DURIP grant (W911NF17-1-0282), and the University of Pennsylvania. W.K. also acknowledges characterization facilities in the Singh Center for Nanotechnology, which is supported by the NSF Nanotechnology Coordinated Infrastructure Program under grant NNCI-2025608. Computational work used Stampede2 at the Texas Advanced Computing Center (TACC) through allocation MAT230002 from the Advanced Cyberinfrastructure Coordination Ecosystem: Services &amp; Support (ACCESS) Program, which is supported by the National Science Foundation grants #2138259, #2138286, #2138307, #2137603, and #2138296.</t>
  </si>
  <si>
    <t>10.1021/acs.macromol.4c02326</t>
  </si>
  <si>
    <t>3CS1V</t>
  </si>
  <si>
    <t>WOS:001467402800001</t>
  </si>
  <si>
    <t>Mu, YJ; Tran, HH; Lee, DY</t>
  </si>
  <si>
    <t>Mu, Yijiang; Tran, Hong Huy; Lee, Daeyeon</t>
  </si>
  <si>
    <t>Spiky and Dendritic Microparticles: Design, Synthesis, and Emerging Applications</t>
  </si>
  <si>
    <t>Review</t>
  </si>
  <si>
    <t>INTERFACIAL INSTABILITIES; SURFACE TEXTURES; JANUS PARTICLES; DROPLETS; MECHANISMS; ADHESION</t>
  </si>
  <si>
    <t>Microparticles with long surface protrusions, either as rigid spikes or flexible dendrites, represent a unique class of colloidal materials. Their chemical and structural features give rise to properties and functions that differ fundamentally from those of similarly shaped nanoparticles, with applications in drug delivery, biofilm disruption, and adhesive technologies. Their distinctive spiky or dendritic morphologies alter interparticle interactions, and regulate particle-environment interactions. Synthesizing these particles is inherently challenging, as colloidal particles naturally favor smooth surfaces to minimize surface energy. This review highlights key synthetic strategies, including seeded growth, emulsion-templated synthesis, and polymer precipitation under turbulent shear. We describe the particles produced via these processes and their applications, and discuss future challenges and opportunities in this emerging field.</t>
  </si>
  <si>
    <t>[Mu, Yijiang; Tran, Hong Huy; Lee, Daeyeon] Univ Penn, Dept Chem &amp; Biomol Engn, Philadelphia, PA 19104 USA; [Tran, Hong Huy] Univ Penn, Sch Dent Med, Dept Orthodont, Philadelphia, PA 19104 USA</t>
  </si>
  <si>
    <t>Lee, DY (corresponding author), Univ Penn, Dept Chem &amp; Biomol Engn, Philadelphia, PA 19104 USA.</t>
  </si>
  <si>
    <t>; Tran, Hong-Huy/AAC-2298-2019</t>
  </si>
  <si>
    <t>Mu, Yijiang/0009-0001-0835-4757; Tran, Hong-Huy/0000-0002-7806-2936</t>
  </si>
  <si>
    <t>Division of Materials Research; Innovation in Dental Medicine and Engineering Advance Oral Health (IDEA) Prize from the Penn Center for Innovation &amp; Precision Dentistry (CiPD) [NSF-2309043]; Penn MRSEC</t>
  </si>
  <si>
    <t>Division of Materials Research(National Science Foundation (NSF)NSF - Directorate for Mathematical &amp; Physical Sciences (MPS)); Innovation in Dental Medicine and Engineering Advance Oral Health (IDEA) Prize from the Penn Center for Innovation &amp; Precision Dentistry (CiPD); Penn MRSEC(National Science Foundation (NSF))</t>
  </si>
  <si>
    <t>This work was supported by Innovation in Dental Medicine and Engineering Advance Oral Health (IDEA) Prize from the Penn Center for Innovation &amp; Precision Dentistry (CiPD) and partly by Penn MRSEC (NSF-2309043).</t>
  </si>
  <si>
    <t>10.1021/acs.chemmater.5c00674</t>
  </si>
  <si>
    <t>4GR0A</t>
  </si>
  <si>
    <t>WOS:001508759500001</t>
  </si>
  <si>
    <t>Merigliano, C; Ryu, T; Cibulka, J; Rawal, CC; See, CD; Mitra, A; Reynolds, TW; Butova, NL; Caridi, CP; Li, X; Wang, JF; Deng, CF; Chenoweth, DM; Sung, PT; Capelson, M; Krejcí, L; Chiolo, I</t>
  </si>
  <si>
    <t>Merigliano, Chiara; Ryu, Taehyun; Cibulka, Jakub; Rawal, Chetan C.; See, Colby D.; Mitra, Anik; Reynolds, Trevor W.; Butova, Nadejda L.; Caridi, Christopher P.; Li, Xiao; Wang, Jeff; Deng, Changfeng; Chenoweth, David M.; Sung, Patrick; Capelson, Maya; Krejci, Lumir; Chiolo, Irene</t>
  </si>
  <si>
    <t>Off-pore Nup98 condensates mobilize heterochromatic breaks and exclude Rad51</t>
  </si>
  <si>
    <t>MOLECULAR CELL</t>
  </si>
  <si>
    <t>NUCLEAR ACTIN-FILAMENTS; PHASE-SEPARATION; NUCLEOPORIN; DROSOPHILA; DYNAMICS; CHROMATIN; COMPLEX; PERMEABILITY; NUP88; LOCALIZATION</t>
  </si>
  <si>
    <t>Phase separation forms membraneless compartments, including heterochromatin domains and repair foci. Pericentromeric heterochromatin mostly comprises repeated sequences prone to aberrant recombination. In Drosophila cells, safe homologous recombination (HR) repair of these sequences requires their re-localization to the nuclear periphery before Rad51 recruitment and strand invasion. How this mobilization initiates is unknown, and the contribution of phase separation is unclear. Here, we show that Nup98 nucleoporin is recruited to repair sites before relocalization by Sec13 or Nup88, and downstream of the Smc5/6 complex and heterochromatin protein 1 (HP1). Remarkably, Nup98 condensates are immiscible with HP1 condensates, and they are required and sufficient to mobilize repair sites and exclude Rad51, thus preventing aberrant recombination while promoting HR repair. Disrupting this pathway results in heterochromatin repair defects and widespread chromosome rearrangements, revealing an off-pore role for nucleoporins and phase separation in nuclear dynamics and genome integrity in a multicellular eukaryote.</t>
  </si>
  <si>
    <t>[Merigliano, Chiara; Ryu, Taehyun; Rawal, Chetan C.; See, Colby D.; Mitra, Anik; Reynolds, Trevor W.; Butova, Nadejda L.; Caridi, Christopher P.; Li, Xiao; Chiolo, Irene] Univ Southern Calif, Dept Biol Sci, Mol &amp; Computat Biol Sect, Los Angeles, CA 90089 USA; [Ryu, Taehyun] Harvard Med Sch, Dept Genet, Boston, MA 02115 USA; [Cibulka, Jakub; Krejci, Lumir] Masaryk Univ, Fac Med, Dept Biol, Kamenice 5-A7, Brno 62500, Czech Republic; [Li, Xiao] Univ Calgary, Cumming Sch Med, Dept Biochem &amp; Mol Biol, Calgary, AB T2N 4N1, Canada; [Wang, Jeff; Sung, Patrick] Univ Texas Hlth Sci Ctr San Antonio, Dept Biochem &amp; Struct Biol, San Antonio, TX 78229 USA; [Wang, Jeff; Sung, Patrick] Univ Texas Hlth Sci Ctr San Antonio, Greehey Childrens Canc Res Inst, San Antonio, TX 78229 USA; [Deng, Changfeng; Chenoweth, David M.] Univ Penn, Dept Chem, Philadelphia, PA 19104 USA; [Capelson, Maya] San Diego State Univ, Dept Biol, San Diego, CA 92182 USA; [Krejci, Lumir] Masaryk Univ, Fac Sci, Natl Ctr Biomol Res, Kamenice 5-A4, Brno 62500, Czech Republic</t>
  </si>
  <si>
    <t>University of Southern California; Harvard University; Harvard Medical School; Masaryk University; University of Calgary; University of Texas System; University of Texas at San Antonio; University of Texas System; University of Texas at San Antonio; University of Pennsylvania; California State University System; San Diego State University; Masaryk University</t>
  </si>
  <si>
    <t>Chiolo, I (corresponding author), Univ Southern Calif, Dept Biol Sci, Mol &amp; Computat Biol Sect, Los Angeles, CA 90089 USA.</t>
  </si>
  <si>
    <t>chiolo@usc.edu</t>
  </si>
  <si>
    <t>RAWAL, CHETAN/LKL-9127-2024; Mitra, Anik/GZA-7146-2022; Ryu, Taehyun/ABE-1851-2021; Merigliano, Chiara/AAG-1647-2020; Capelson, Maya/PQW-3713-2026; Krejci, Lumir/B-7842-2009; Cibulka, Jakub/AAJ-5481-2021</t>
  </si>
  <si>
    <t>RAWAL, CHETAN/0000-0001-9286-927X; Chenoweth, David/0000-0002-0819-4669; Deng, Changfeng/0000-0001-9138-0851; Reynolds, Trevor/0009-0008-6241-3341; Mitra, Anik/0000-0002-0589-0044; Butova, Nadejda/0009-0001-6003-1197;</t>
  </si>
  <si>
    <t>AAUW International Fellowship; USC Research Enhancement Fellowships; Rose Hills Foundation Fellowship [NIH-F31ES036878, NIH-T32GM118289, NIH-P01CA265794, NIH-R01AR077094, NSF-MRSEC DMR-2309043, NIH-R01GM124143, NIH-T32GM145432, NIH-CA148724, NIH-R35CA241801]; Czech Science Foundation [21-22593X, 25-17326S, NIH-R01GM117376]; ACS [RSG-24-1325787-01-DMC]; NSF Career [1751197, P40OD018537]; DGRC [P40OD010949]</t>
  </si>
  <si>
    <t>AAUW International Fellowship; USC Research Enhancement Fellowships; Rose Hills Foundation Fellowship; Czech Science Foundation(Czech Science Foundation); ACS(American Cancer Society); NSF Career(National Science Foundation (NSF)NSF - Office of the Director (OD)); DGRC</t>
  </si>
  <si>
    <t>This study was supported by the AAUW International Fellowship to C.M.; a USC Research Enhancement Fellowships to T.R.; a Rose Hills Foundation Fellowship and NIH-F31ES036878 to N.L.B.; NIH-T32GM118289 to C.D.S.; NIH-P01CA265794, NIH-R01AR077094, and NSF-MRSEC DMR-2309043 to D.M.C.; NIH-R01GM124143 to M.C.; NIH-T32GM145432 and NIH-CA148724 to J.W.; NIH-R35CA241801 to P.S.; Czech Science Foundation (21-22593X and 25-17326S) to L.K.; and NIH-R01GM117376, ACS RSG-24-1325787-01-DMC, and NSF Career 1751197 to I.C. We thank all the members of the Chiolo Lab for helpful discussions; G. Karpen, M. Fornerod, M. Dasso, B. Di Ventura, R. Eils, C. Tucker, M. Hetzer, M. Lampson, H. Zhang, R. Lim, and G.J. Narlikar for plasmids; M. Spirek and M. Sebesta for recombinant proteins; A. Arnaoutov from M. Dasso Lab and D. Wallis from C. Phillips Lab for advice; C. Phillips for sharing her confocal microscope; M. Hetzer, H.V. Doye, J. Kado-naga, H. Ohkura, G. Karpen, S. Bernstein, and C. Schulz for antibodies; J. Tower for fly lines and media; BDSC (P40OD018537) , VDRC, and DGRC (P40OD010949) for flies and plasmids; and S. Ruffins and the optical imaging facility at USC Keck for imaging advice; A. Christensen, D. Richards, and L. Chen for manuscript editing; L. Boninsegna for help with LDM analyses, Rc calculations, and manuscript editing; A. Patel, L. Oei, A. Deshpande, and D. Richards for generating constructs; and G. Dialynas for help with larval tissue staining. Drosophila Rad51 antibodies were a kind gift from J. Kadonaga and are now distributed by the Chiolo Lab. Antibodies against Lamin, HA, and Myc were obtained from DSHB, created by the NIH NICHD and maintained at the University of Iowa.</t>
  </si>
  <si>
    <t>1097-2765</t>
  </si>
  <si>
    <t>1097-4164</t>
  </si>
  <si>
    <t>MOL CELL</t>
  </si>
  <si>
    <t>Mol. Cell</t>
  </si>
  <si>
    <t>JUN 19</t>
  </si>
  <si>
    <t>10.1016/j.molcel.2025.05.012</t>
  </si>
  <si>
    <t>4IM9N</t>
  </si>
  <si>
    <t>WOS:001518825900010</t>
  </si>
  <si>
    <t>Browne, CA; Morimitsu, Y; Kim, NK; Gopinadhan, M; Sirota, EB; Altintas, O; Edmond, KV; Heiney, PA; Osuji, CO</t>
  </si>
  <si>
    <t>Browne, Christopher A.; Morimitsu, Yuma; Kim, Na Kyung; Gopinadhan, Manesh; Sirota, Eric B.; Altintas, Ozcan; Edmond, Kazem V.; Heiney, Paul A.; Osuji, Chinedum O.</t>
  </si>
  <si>
    <t>Structural complexity driven by liquid-liquid crystal phase separation of smectics</t>
  </si>
  <si>
    <t>ISOTROPIC-PHASE; DROPLETS; GROWTH; FILAMENTS; RHEOLOGY</t>
  </si>
  <si>
    <t>Many phase separated systems-including industrial nanocomposites, biomaterials, and cellular condensates-can form dispersed droplets that exhibit internal liquid crystalline ordering. The elasticity of the internal liquid crystalline mesophase often reshapes the droplet geometry, resulting in structures such as filaments, tactoids, tori, and surface facets. Our recent work demonstrated that by slowly cooling into the binodal from a well-mixed state, the dynamics of this liquid-liquid crystal phase separation (LLCPS) can give rise to striking filamentous networks of smectic condensates. Here, we investigated how choice of mesogen, solvent, and concentration can dramatically alter these networks. Using X-ray scattering, we observed that the solvent swells the smectic layers, seemingly reducing the smectic layer's bend modulus, altering the geometric structure of the network. Consistent with this interpretation, samples with a higher smectic layer swelling exhibited more geometrically-complex structures that require higher smectic layer bending to form. We further demonstrated that the formation of filaments and networks does not occur in all systems exhibiting coexistence of a smectic and isotropic phase. Instead, we only observed filament and network formation when the smectic phase developed directly from the isotropic phase-further highlighting the importance of path-dependence in forming these non-equilibrium structures. These results demonstrate some of the structural diversity of dispersed droplet geometries that can be accessed by LLCPS, and elucidate some of the requisite conditions for them to form networked morphologies.</t>
  </si>
  <si>
    <t>[Browne, Christopher A.; Morimitsu, Yuma; Kim, Na Kyung; Osuji, Chinedum O.] Univ Penn, Dept Chem &amp; Biomol Engn, Philadelphia, PA 19104 USA; [Gopinadhan, Manesh; Sirota, Eric B.; Altintas, Ozcan; Edmond, Kazem V.] ExxonMobil Technol &amp; Engn Co, Res Div, Annandale, NJ 08801 USA; [Heiney, Paul A.] Univ Penn, Dept Phys &amp; Astron, Philadelphia, PA USA</t>
  </si>
  <si>
    <t>; Sirota, Eric/A-7633-2009; Edmond, Kazem/B-4686-2008; Kim, Na Kyung/IQS-1278-2023; Morimitsu, Yuma/AHE-7854-2022</t>
  </si>
  <si>
    <t>Browne, Christopher/0000-0002-3945-9906; Altintas, Ozcan/0000-0003-3725-4613; Gopinadhan, Manesh/0000-0001-8452-6613; Morimitsu, Yuma/0000-0001-7303-0006</t>
  </si>
  <si>
    <t>Army Research Office [NSF DMR2309043]; NSF MRSEC at the Laboratory for Research on the Structure of Matter (LRSM) at the University of Pennsylvania [NSF DMR2309043]; ExxonMobil Technology and Engineering Company [1725969]; NSF MRI [W911NF-17-1-0282]; ARO DURIP grant; Center for Soft and Living Matter at the University of Pennsylvania</t>
  </si>
  <si>
    <t>Army Research Office(Army Research Office); NSF MRSEC at the Laboratory for Research on the Structure of Matter (LRSM) at the University of Pennsylvania; ExxonMobil Technology and Engineering Company; NSF MRI(National Science Foundation (NSF)NSF - Office of the Director (OD)); ARO DURIP grant; Center for Soft and Living Matter at the University of Pennsylvania</t>
  </si>
  <si>
    <t>It is our pleasure to thank Jonathan D. Saathoff for insightful discussions. This work was supported by the NSF MRSEC at the Laboratory for Research on the Structure of Matter (LRSM) at the University of Pennsylvania (NSF DMR2309043) and by ExxonMobil Technology and Engineering Company. The Authors acknowledge the use of the Dual Source and Environmental X-ray scattering facility operated by the University of Pennsylvania LRSM (NSF DMR2309043). The equipment purchase was made possible by NSF MRI grant (1725969) and ARO DURIP grant (W911NF-17-1-0282). C. A. B. acknowledges postdoctoral fellowship support from the Center for Soft and Living Matter at the University of Pennsylvania.</t>
  </si>
  <si>
    <t>AUG 27</t>
  </si>
  <si>
    <t>10.1039/d5sm00487j</t>
  </si>
  <si>
    <t>6MU4I</t>
  </si>
  <si>
    <t>WOS:001547332700001</t>
  </si>
  <si>
    <t>Jeon, S; Nedzbala, HS; Huffman, BL; Pearce, AJ; Donley, CL; Jia, XF; Bein, GP; Choi, J; Durand, N; Atallah, H; Castellano, FN; Dempsey, JL; Mayer, JM; Hazari, N; Stach, EA</t>
  </si>
  <si>
    <t>Jeon, Sungho; Nedzbala, Hannah S.; Huffman, Brittany L.; Pearce, Adam J.; Donley, Carrie L.; Jia, Xiaofan; Bein, Gabriella P.; Choi, Jihoon; Durand, Nicolas; Atallah, Hala; Castellano, Felix N.; Dempsey, Jillian L.; Mayer, James M.; Hazari, Nilay; Stach, Eric A.</t>
  </si>
  <si>
    <t>Statistical analysis of HAADF-STEM images to determine the surface coverage and distribution of immobilized molecular complexes</t>
  </si>
  <si>
    <t>Highlights</t>
  </si>
  <si>
    <t>HETEROGENEOUS CATALYSTS; CO2 REDUCTION; CHEMISTRY</t>
  </si>
  <si>
    <t>The surface immobilization of molecular catalysts is attractive because it combines the benefits of homogeneous and heterogeneous catalysis. However, determining the surface coverage and distribution of a molecular catalyst on a solid support is often challenging, inhibiting our ability to design improved catalytic systems. Here, we demonstrate that the combination of scanning transmission electron microscopy (STEM) and image analysis of the individual positions of heavy atoms in transition metal complexes via a convolutional neural network (CNN) allows statistically robust determination of the surface coverage and distribution of immobilized molecular catalysts. These observations provide information about how changes in the functionalization conditions, attachment group, and structure of the molecular catalyst affect the surface coverage and distribution, providing insight into the chemical mechanism of surface immobilization. The method could be generally valuable for correlating the surface coverage and distribution to the activity, selectivity, and stability of a catalytic system.</t>
  </si>
  <si>
    <t>[Jeon, Sungho; Choi, Jihoon; Stach, Eric A.] Univ Penn, Dept Mat Sci &amp; Engn, Philadelphia, PA 19104 USA; [Nedzbala, Hannah S.; Pearce, Adam J.; Jia, Xiaofan; Mayer, James M.; Hazari, Nilay] Yale Univ, Dept Chem, New Haven, CT 06520 USA; [Huffman, Brittany L.; Donley, Carrie L.; Bein, Gabriella P.; Dempsey, Jillian L.] Univ North Carolina, Dept Chem, Chapel Hill, NC 27599 USA; [Durand, Nicolas; Atallah, Hala; Castellano, Felix N.] North Carolina State Univ, Dept Chem, Raleigh, NC 27695 USA</t>
  </si>
  <si>
    <t>University of Pennsylvania; Yale University; University of North Carolina; University of North Carolina Chapel Hill; North Carolina State University</t>
  </si>
  <si>
    <t>Stach, EA (corresponding author), Univ Penn, Dept Mat Sci &amp; Engn, Philadelphia, PA 19104 USA.;Hazari, N (corresponding author), Yale Univ, Dept Chem, New Haven, CT 06520 USA.</t>
  </si>
  <si>
    <t>nilay.hazari@yale.edu; stach@seas.upenn.edu</t>
  </si>
  <si>
    <t>; Stach, Eric/D-8545-2011; Castellano, Felix/B-6317-2009; Jia, Xiaofan/AAQ-4971-2021; Atallah, Hala/AAN-8810-2020</t>
  </si>
  <si>
    <t>Dempsey, Jillian/0000-0002-9459-4166; Jeon, Sungho/0000-0002-2262-6819; Stach, Eric/0000-0002-3366-2153; Castellano, Felix/0000-0001-7546-8618; Mayer, James/0000-0002-3943-5250; Durand, Nicolas/0000-0002-3431-1531;</t>
  </si>
  <si>
    <t>Center for Hybrid Approaches in Solar Energy; US Department of Energy, Office of Science, Office of Basic Energy Sciences [DESC0021173]; National Science Foundation (NSF) National Nanotechnology Coordinated Infrastructure Program [NNCI-2025608]; NSF [2309043, ECCS-2025064]; NSF Graduate Research Fellowship Program; [DMR-1720530]</t>
  </si>
  <si>
    <t>Center for Hybrid Approaches in Solar Energy; US Department of Energy, Office of Science, Office of Basic Energy Sciences(United States Department of Energy (DOE)); National Science Foundation (NSF) National Nanotechnology Coordinated Infrastructure Program(National Science Foundation (NSF)); NSF(National Science Foundation (NSF)); NSF Graduate Research Fellowship Program(National Science Foundation (NSF));</t>
  </si>
  <si>
    <t>This material is based upon work solely supported as part of the Center for Hybrid Approaches in Solar Energy to Liquid Fuels (CHASE) , an Energy Innovation Hub funded by the US Department of Energy, Office of Science, Office of Basic Energy Sciences, under award no. DESC0021173. The STEM analysis was carried out at the Singh Center for Nanotechnology, which is supported by the National Science Foundation (NSF) National Nanotechnology Coordinated Infrastructure Program under grant NNCI-2025608 and the Laboratory for Research on the Structure of Matter (MRSEC) supported by the NSF (DMR-1720530 and 2309043) . The XPS analysis was performed at the Chapel Hill Analytical and Nanofabrication Laboratory (CHANL) , a member of the North Carolina Research Triangle Nanotechnology Network (RTNN) , which is supported by the NSF (grant ECCS-2025064) as part of the National Nanotechnology Coordinated Infrastructure (NNCI) . B.L.H. and H.S.N. acknowledge the NSF Graduate Research Fellowship Program. The authors thank J. Horwath for helpful discussions concerning image analysis.</t>
  </si>
  <si>
    <t>FEB 5</t>
  </si>
  <si>
    <t>10.1016/j.matt.2024.11.013</t>
  </si>
  <si>
    <t>X1W0X</t>
  </si>
  <si>
    <t>WOS:001423326800001</t>
  </si>
  <si>
    <t>Tong, XL; Yousefian, P; Wang, ZY; Saravanan, MA; Rai, RK; Esteves, G; Stach, EA; Olsson, RH III</t>
  </si>
  <si>
    <t>Tong, Xiaolei; Yousefian, Pedram; Wang, Ziyi; Saravanan, Meenakshi A.; Rai, Rajeev Kumar; Esteves, Giovanni; Stach, Eric A.; Olsson III, Roy H.</t>
  </si>
  <si>
    <t>Low-Field Ferroelectricity in 10-nm AlBScN Thin Films</t>
  </si>
  <si>
    <t>Switches; Current measurement; Films; Capacitors; Leakage currents; Pulse measurements; Boron; Electric breakdown; Voltage measurement; Transmission electron microscopy; Aluminum scandium nitride (AlScN); aluminum boron scandium nitride (AlBScN); ferroelectric capacitors; ultrathin ferroelectrics</t>
  </si>
  <si>
    <t>QUANTITATIVE CHARACTERIZATION; INTERFACE TRAPS</t>
  </si>
  <si>
    <t>Ferroelectric aluminum scandium nitride (Al1-xScxN, AlScN) offers CMOS-compatible integration but suffers from high coercive fields and leakage currents that hinder thickness scaling. Further reduction in thickness is essential for low-voltage embedded nonvolatile memory applications. Boron incorporation into AlScN (AlBScN) suppresses leakage current in films down to 40 nm, yet its ferroelectric characteristics in ultrathin films remain unexplored. This letter demonstrates robust ferroelectric switching in 10 nm sputtered AlBScN capacitors with a low coercive field and approximately two orders of magnitude lower leakage than AlScN. Notably, the coercive field (E-c) extracted from capacitance-voltage measurements was 2.3 MV/cm, and the onset of symmetric polarization reversal was observed near 4.6 MV/cm in positive-up-negative-down (POND) measurements using 2 &amp; micro;s pulses. Moreover, the breakdown field (EBD) was determined to be 10.0 MV/cm for 10 &amp; micro;m diameter capacitors, suggesting a substantial margin between E-BD and E-c for reliable operation. These findings demonstrate AlBScN as a promising candidate for CMOS back-end-of-line (BEOL) compatible ferroelectric applications with reduced energy consumption and leakage current.</t>
  </si>
  <si>
    <t>[Tong, Xiaolei; Yousefian, Pedram; Wang, Ziyi; Saravanan, Meenakshi A.; Olsson III, Roy H.] Univ Penn, Dept Elect &amp; Syst Engn, Philadelphia, PA 19104 USA; [Rai, Rajeev Kumar; Stach, Eric A.] Univ Penn, Dept Mat Sci &amp; Engn, Philadelphia, PA 19104 USA; [Esteves, Giovanni] Sandia Natl Labs, Microsyst Engn Sci &amp; Applicat Complex, Albuquerque, NM 87123 USA</t>
  </si>
  <si>
    <t>University of Pennsylvania; University of Pennsylvania; United States Department of Energy (DOE); Sandia National Laboratories</t>
  </si>
  <si>
    <t>Olsson, RH III (corresponding author), Univ Penn, Dept Elect &amp; Syst Engn, Philadelphia, PA 19104 USA.</t>
  </si>
  <si>
    <t>Stach, Eric/D-8545-2011; Yousefian, Pedram/HKN-8245-2023; Esteves, Giovanni/E-6733-2018</t>
  </si>
  <si>
    <t>Defense Advanced Research Project Agency under the Compact Front-End Filters at the Element-Level (COFFEE) Program [DMR2309043]; Army/ARL via the Collaborative for Hierarchical Agile and Responsive Materials (CHARM) [W911NF-19-2-0119]; National Technology and Engineering Solutions of Sandia, Limited Liability Corporation (LLC) [NNCI-1542153]; U.S. Department of Energy (DOE) [DE-NA0003525]; Deposition, Patterning, and Characterizations of Al1-x-yBxScyN Thin Films [NNCI-1542153]; Laboratory for Research on the Structure of Matter and the NSF through the University of Pennsylvania Materials Research Science and Engineering Center (MRSEC) [DMR2309043]</t>
  </si>
  <si>
    <t>Defense Advanced Research Project Agency under the Compact Front-End Filters at the Element-Level (COFFEE) Program; Army/ARL via the Collaborative for Hierarchical Agile and Responsive Materials (CHARM); National Technology and Engineering Solutions of Sandia, Limited Liability Corporation (LLC); U.S. Department of Energy (DOE)(United States Department of Energy (DOE)); Deposition, Patterning, and Characterizations of Al1-x-yBxScyN Thin Films; Laboratory for Research on the Structure of Matter and the NSF through the University of Pennsylvania Materials Research Science and Engineering Center (MRSEC)</t>
  </si>
  <si>
    <t>This work was supported in part by the Defense Advanced Research Project Agency under the Compact Front-End Filters at the Element-Level (COFFEE) Program; in part by the Army/ARL via the Collaborative for Hierarchical Agile and Responsive Materials (CHARM) under Cooperative Agreement W911NF-19-2-0119;; in part by the National Technology and Engineering Solutions of Sandia, Limited Liability Corporation (LLC), with U.S. Department of Energy (DOE) under Contract DE-NA0003525; in part by the Deposition, Patterning, and Characterizations of Al1-x-yBxScyN Thin Films were Performed at the Singh Center for Nanotechnology through the NSF National Nanotechnology Coordinated Infrastructure Program under Grant NNCI-1542153; and in part by the Laboratory for Research on the Structure of Matter and the NSF through the University of Pennsylvania Materials Research Science and Engineering Center (MRSEC) under Grant DMR2309043.</t>
  </si>
  <si>
    <t>10.1109/LED.2026.3675494</t>
  </si>
  <si>
    <t>HL3VP</t>
  </si>
  <si>
    <t>WOS:001756806400038</t>
  </si>
  <si>
    <t>Ligan, O; Singh, H; Kulkarni, S; Tran, HH; Kikkawa, JM; Lee, D; Radhakrishnan, R; Steager, E; Koo, H; Stebe, K</t>
  </si>
  <si>
    <t>Ligan, Oluwafemi; Singh, Hrishabh; Kulkarni, Sahil; Tran, Hong Huy; Kikkawa, James M.; Lee, Daeyeon; Radhakrishnan, Ravi; Steager, Edward; Koo, Hyun; Stebe, Kathleen</t>
  </si>
  <si>
    <t>Magnetically Actuated Drops-on-Stilts Microrobots for Transport and Delivery of Hydrophobic Cargo</t>
  </si>
  <si>
    <t>drug delivery; dynamic self-assembly; hydrophobic cargo transport; iron oxide nanoparticles; microrobots; rolling locomotion</t>
  </si>
  <si>
    <t>CANDIDA-ALBICANS; EUGENOL</t>
  </si>
  <si>
    <t>Magnetically actuated microrobots assembled from iron oxide nanoparticles (IONPs) can be utilized for drug-delivery applications, yet efficient transport of hydrophobic cargo remains challenging. We introduce drops-on-stilts microrobots, formed via co-assembly of ferromagnetic IONPs and oil droplets under uniform rotating magnetic fields. Assembly requires a particular wetting regime; IONPs must be partially wet by oil, and be present in bulk suspension and at the droplet interface below the interfacial jamming limit. By varying the ratio of IONPs to oil droplets, we generate distinct structures. At low IONP ratio, interfacial assemblies with linear dimension smaller than the droplet diameter concentrate at droplet poles, enabling rotation. At higher IONP ratio, IONP chains merge with interfacial particle assemblies to form stilts longer than the drop diameter that lift droplets, enabling a walking motion at speeds that scale linearly with stilt length. High droplet densities promote chaining into log-like collectives capable of rolling or walking, transporting hydrophobic payloads over irregular obstacles. Monte Carlo simulations modeling IONPs as adhesive dipolar hard spheres reproduce stilt-like chain formation and bundling, validating the key mechanisms for structure formation. Drops-on-stilts magnetically guided delivery of the essential oil eugenol in the targeted treatment of Candida albicans biofilms is demonstrated.</t>
  </si>
  <si>
    <t>[Ligan, Oluwafemi; Singh, Hrishabh; Kulkarni, Sahil; Tran, Hong Huy; Lee, Daeyeon; Radhakrishnan, Ravi; Stebe, Kathleen] Univ Penn, Sch Engn &amp; Appl Sci, Dept Chem &amp; Biomol Engn, Philadelphia, PA 19104 USA; [Ligan, Oluwafemi; Tran, Hong Huy; Lee, Daeyeon; Steager, Edward; Koo, Hyun; Stebe, Kathleen] Univ Penn, Ctr Innovat &amp; Precis Dent, Sch Dent Med, Sch Engn &amp; Appl Sci, Philadelphia, PA 19104 USA; [Kikkawa, James M.] Univ Penn, Sch Arts &amp; Sci, Dept Phys &amp; Astron, Philadelphia, PA USA; [Radhakrishnan, Ravi; Koo, Hyun] Univ Penn, Sch Engn &amp; Appl Sci, Dept Bioengn, Philadelphia, PA 19104 USA; [Steager, Edward] Univ Penn, Sch Engn &amp; Appl Sci, Dept Mech Engn &amp; Appl Mech, Philadelphia, PA 19104 USA; [Koo, Hyun] Univ Penn, Levy Ctr Oral Hlth, Sch Dent Med, Biofilm Res Labs, Philadelphia, PA 19104 USA; [Koo, Hyun] Univ Penn, Sch Dent Med, Dept Orthodont, Philadelphia, PA 19104 USA</t>
  </si>
  <si>
    <t>Lee, DY; Radhakrishnan, R; Stebe, K (corresponding author), Univ Penn, Sch Engn &amp; Appl Sci, Dept Chem &amp; Biomol Engn, Philadelphia, PA 19104 USA.;Lee, DY; Steager, E; Koo, H; Stebe, K (corresponding author), Univ Penn, Ctr Innovat &amp; Precis Dent, Sch Dent Med, Sch Engn &amp; Appl Sci, Philadelphia, PA 19104 USA.;Radhakrishnan, R; Koo, H (corresponding author), Univ Penn, Sch Engn &amp; Appl Sci, Dept Bioengn, Philadelphia, PA 19104 USA.;Steager, E (corresponding author), Univ Penn, Sch Engn &amp; Appl Sci, Dept Mech Engn &amp; Appl Mech, Philadelphia, PA 19104 USA.;Koo, H (corresponding author), Univ Penn, Levy Ctr Oral Hlth, Sch Dent Med, Biofilm Res Labs, Philadelphia, PA 19104 USA.;Koo, H (corresponding author), Univ Penn, Sch Dent Med, Dept Orthodont, Philadelphia, PA 19104 USA.</t>
  </si>
  <si>
    <t>daeyeon@seas.upenn.edu; rradhk@seas.upenn.edu; esteager@seas.upenn.edu; koohy@upenn.edu; kstebe@seas.upenn.edu</t>
  </si>
  <si>
    <t>Tran, Hong/AAC-2298-2019</t>
  </si>
  <si>
    <t>NSF [2309043, 2402669]; NIH [R01DE034383, R01-DE-025848, R01-DE-031491]</t>
  </si>
  <si>
    <t>NSF(National Science Foundation (NSF)); NIH(United States Department of Health &amp; Human ServicesNational Institutes of Health (NIH) - USA)</t>
  </si>
  <si>
    <t>This work was supported in part by NIH Awards R01DE034383, R01-DE-025848, R01-DE-031491, and NSF Awards 2309043 and 2402669.</t>
  </si>
  <si>
    <t>2026 MAY 2</t>
  </si>
  <si>
    <t>10.1002/admi.70508</t>
  </si>
  <si>
    <t>HH5RN</t>
  </si>
  <si>
    <t>WOS:001754215200001</t>
  </si>
  <si>
    <t>Hong, YH; Jia, XF; Stewart-Jones, E; Kumar, A; Wedal, JC; Alvarez-Hernandez, JL; Donley, CL; Gang, A; Gibson, NJ; Hazari, N; Houck, M; Jeon, S; Kim, J; Koh, H; Mayer, JM; Mercado, BQ; Nedzbala, HS; Piekut, N; Quist, C; Stach, E; Zhang, YH</t>
  </si>
  <si>
    <t>Hong, Young Hyun; Jia, Xiaofan; Stewart-Jones, Eleanor; Kumar, Abhishek; Wedal, Justin C.; Alvarez-Hernandez, Jose L.; Donley, Carrie L.; Gang, Albert; Gibson, Noah J.; Hazari, Nilay; Houck, Madison; Jeon, Sungho; Kim, Jongbeom; Koh, Hyeongjun; Mayer, James M.; Mercado, Brandon Q.; Nedzbala, Hannah S.; Piekut, Nicole; Quist, Christine; Stach, Eric; Zhang, Yihui</t>
  </si>
  <si>
    <t>Photoelectrocatalytic reduction of CO2 to formate using immobilized molecular manganese catalysts on oxidized porous silicon</t>
  </si>
  <si>
    <t>CHEM</t>
  </si>
  <si>
    <t>CARBON-DIOXIDE; ELECTROCATALYTIC REDUCTION; SURFACE MODIFICATION; ELECTROCHEMICAL REDUCTION; EVOLUTION CATALYST; VISIBLE-LIGHT; FORMIC-ACID; COMPLEX; CONVERSION; OXIDATION</t>
  </si>
  <si>
    <t>The reduction of carbon dioxide (CO2) to formate using molecular catalysts immobilized on high surface area porous silicon is described. Manganese complexes of the type ((R) bpy)Mn(CO)(3)Br (bpy = 2,2 '-bipyridine) were prepared with silatrane groups on the bpy ligand for attachment to oxide-coated porous silicon (SiOx-porSi). SiOx-porSi wafers were formed by heating hydrogen-terminated p-type porous silicon wafers under air, and the manganese complexes were immobilized on SiOx-porSi by heating at 80 degrees C. The resulting hybrid photoelectrodes are photoelectrocatalysts for CO2 reduction in acetonitrile containing 2.0 M triethylamine and 2.0 M isopropanol, yielding formate with high selectivity (&gt;96%) and current density (similar to 0.6 mA/cm(2)), excellent reproducibility, and a photovoltage of 280 mV at -1.75 V (versus ferrocenium/ferrocene) under 1 sun illumination. The applied potential is close to the equilibrium potential for CO2 reduction to formate. This work presents rare examples of immobilized molecular catalysts for CO2 reduction to formate and the first on semiconducting silicon.</t>
  </si>
  <si>
    <t>[Hong, Young Hyun; Jia, Xiaofan; Stewart-Jones, Eleanor; Kumar, Abhishek; Wedal, Justin C.; Alvarez-Hernandez, Jose L.; Gang, Albert; Gibson, Noah J.; Hazari, Nilay; Houck, Madison; Mayer, James M.; Mercado, Brandon Q.; Nedzbala, Hannah S.; Piekut, Nicole; Quist, Christine] Yale Univ, Dept Chem, POB 208107, New Haven, CT 06520 USA; [Hong, Young Hyun] Sogang Univ, Dept Chem, Seoul 04107, South Korea; [Hong, Young Hyun] Sogang Univ, Ctr Nano Mat, Seoul 04107, South Korea; [Donley, Carrie L.] Univ North Carolina Chapel Hill, Dept Chem, Chapel Hill, NC 27599 USA; [Jeon, Sungho; Kim, Jongbeom; Koh, Hyeongjun; Stach, Eric; Zhang, Yihui] Univ Penn, Dept Mat Sci &amp; Engn, Philadelphia, PA 19104 USA</t>
  </si>
  <si>
    <t>Yale University; Sogang University; Sogang University; University of North Carolina; University of North Carolina Chapel Hill; University of North Carolina School of Medicine; University of Pennsylvania</t>
  </si>
  <si>
    <t>Hazari, N; Mayer, JM (corresponding author), Yale Univ, Dept Chem, POB 208107, New Haven, CT 06520 USA.</t>
  </si>
  <si>
    <t>nilay.hazari@yale.edu; james.mayer@yale.edu</t>
  </si>
  <si>
    <t>Jia, Xiaofan/AAQ-4971-2021; Kumar, Abhishek/NQF-2050-2025; Stach, Eric/D-8545-2011</t>
  </si>
  <si>
    <t>Stach, Eric/0000-0002-3366-2153; Mayer, James/0000-0002-3943-5250; Hong, Young Hyun/0000-0001-8190-4156</t>
  </si>
  <si>
    <t>U.S. Department of Energy, Office of Science, Office of Basic Energy Sciences [DE-SC0021173]; National Science Foundation Graduate Fellowship [2021315253]; U.S. National Institutes of Health [R01GM50422]; Air Force Office of Scientific Research [FA9550-18-1-0420]; Multidisciplinary Research Program of the University Research Initiative (MURI) Molecular-Scale Studies Liquid-Solid Interfaces in Electrochemical Processes - U.S. Department of Energy, Office of Science, Office of Basic Energy Sciences; National Science Foundation [DMR2309043]; NSF National Nanotechnology Coordinated Infrastructure Program [NNCI-2025608]; Laboratory for Research on the Structure of Matter (MRSEC)</t>
  </si>
  <si>
    <t>U.S. Department of Energy, Office of Science, Office of Basic Energy Sciences(United States Department of Energy (DOE)); National Science Foundation Graduate Fellowship(National Science Foundation (NSF)); U.S. National Institutes of Health(United States Department of Health &amp; Human ServicesNational Institutes of Health (NIH) - USA); Air Force Office of Scientific Research(United States Department of DefenseAir Force Office of Scientific Research (AFOSR)); Multidisciplinary Research Program of the University Research Initiative (MURI) Molecular-Scale Studies Liquid-Solid Interfaces in Electrochemical Processes - U.S. Department of Energy, Office of Science, Office of Basic Energy Sciences; National Science Foundation(National Science Foundation (NSF)); NSF National Nanotechnology Coordinated Infrastructure Program; Laboratory for Research on the Structure of Matter (MRSEC)</t>
  </si>
  <si>
    <t>This work was solely supported as part of the Center for Hybrid Approaches in Solar Energy to Liquid Fuels (CHASE) , an Energy Innovation Hub funded by the U.S. Department of Energy, Office of Science, Office of Basic Energy Sciences under award no. DE-SC0021173. N.H. thanks the Yale Center for Natural Carbon Capture for support. H.S.N. acknowledges support through a National Science Foundation Graduate Fellowship (2021315253) . The IR instrument used in this study was purchased in 2018 with funds from the U.S. National Institutes of Health (R01GM50422) , from the Air Force Office of Scientific Research under award no. FA9550-18-1-0420 to a Multidisciplinary Research Program of the University Research Initiative (MURI) Molecular-Scale Studies Liquid-Solid Interfaces in Electrochemical Processes,and from the Center for Molecular Electrocatalysis (CME) , an Energy Frontier Research Center funded by the U.S. Department of Energy, Office of Science, Office of Basic Energy Sciences. This work made use of instrumentation (XPS) at the Chapel Hill Analytical and Nanofabrication Laboratory, CHANL, a member of the North Carolina Research Triangle Nanotechnology Network, RTNN, which is supported by the National Science Foundation, grant ECCS-2025064, as part of the National Nanotechnology Coordinated Infrastructure, NNCI. The STEM analysis was carried out at the Singh Center for Nanotechnology, which is supported by the NSF National Nanotechnology Coordinated Infrastructure Program under grant NNCI-2025608 and by the Laboratory for Research on the Structure of Matter (MRSEC) supported by the National Science Foundation (DMR2309043) . This work made use of equipment in the Chemical and Biophysical Instrumentation Center and Analytical and Stable Isotope Center at Yale University.</t>
  </si>
  <si>
    <t>2451-9294</t>
  </si>
  <si>
    <t>CHEM-US</t>
  </si>
  <si>
    <t>Chem</t>
  </si>
  <si>
    <t>JUL 10</t>
  </si>
  <si>
    <t>10.1016/j.chempr.2025.102462</t>
  </si>
  <si>
    <t>5IL4Y</t>
  </si>
  <si>
    <t>WOS:001536454900001</t>
  </si>
  <si>
    <t>Hwang, J; Kim, NK; Osuji, CO</t>
  </si>
  <si>
    <t>Hwang, Junkyu; Kim, Na Kyung; Osuji, Chinedum O.</t>
  </si>
  <si>
    <t>Fouling resistant nanofiltration membranes from self-assembled quaternary ammonium monomers</t>
  </si>
  <si>
    <t>JOURNAL OF MEMBRANE SCIENCE</t>
  </si>
  <si>
    <t>Antifouling membrane; Nanofiltration; Wastewater treatment; Self-assembled membrane</t>
  </si>
  <si>
    <t>BIOACTIVE PEPTIDES; PROTEIN BSA; HIGH-FLUX; SURFACE; FRACTIONATION; PERFORMANCE; FILTRATION; SEPARATION; CALCIUM</t>
  </si>
  <si>
    <t>Nanofiltration membranes with uniform and tunable pore sizes are highly sought after for wastewater treatment. Macromolecular organics and oily species are prevalent in wastewater streams and are challenging drivers of fouling that lead to decreased membrane performance. Efforts to reduce fouling therefore remain of interest in the development of new nanofiltration membranes. We report that nanostructured thin film composite membranes fabricated from a self-assembled mesophase of a polymerizable surfactant [2-(acryloyloxy)ethyl]dimethyl tetradecyl ammonium bromide (AETDAB) demonstrate excellent fouling resistance to protein solutions and oil-in-water emulsions. AETDAB lyotropic mesophases were cast atop a support membrane and crosslinked, forming hexagonally packed polymer cylinders arrayed in the plane of the membrane. The evenly spaced cylinders create channels with diameters of similar to 1 nm that represent the transport limiting dimension for the system. The composite membranes showed outstanding antifouling characteristics, retaining similar to 95 % of permeance over a 72-h period while completely rejecting a model organic foulant, bovine serum albumin (BSA). The membrane also demonstrated similarly strong fouling resistance during the filtration of oil-in-water emulsions, retaining similar to 95 % of its permeance. The fouling resistance highlight the membrane's potential to be used for challenging nanofiltration applications, while retaining its performance over long periods of time.</t>
  </si>
  <si>
    <t>[Hwang, Junkyu; Kim, Na Kyung; Osuji, Chinedum O.] Univ Penn, Dept Chem &amp; Biomol Engn, Philadelphia, PA 19104 USA</t>
  </si>
  <si>
    <t>Kim, Na Kyung/IQS-1278-2023</t>
  </si>
  <si>
    <t>Hwang, Junkyu/0009-0001-9850-1780</t>
  </si>
  <si>
    <t>NSF through CBET [CMMI 1548571, DMR 2223705]; Singh Center for Nano-technology at the University of Pennsylvania; NSF MRSEC [2309043]; NSF MRI [17-25969]; ARO DURIP [W911NF-17-1-0282]; University of Pennsylvania; [2010890]</t>
  </si>
  <si>
    <t>NSF through CBET; Singh Center for Nano-technology at the University of Pennsylvania; NSF MRSEC(National Science Foundation (NSF)NSF - Directorate for Mathematical &amp; Physical Sciences (MPS)); NSF MRI(National Science Foundation (NSF)NSF - Office of the Director (OD)); ARO DURIP; University of Pennsylvania;</t>
  </si>
  <si>
    <t>This work was supported by NSF through CBET award 2010890. C. O. acknowledges additional support through DMR 2223705 and CMMI 1548571 Facilities use was supported by the Singh Center for Nano-technology at the University of Pennsylvania, and the Dual Source and Environmental X-ray scattering facility operated by the Laboratory for Research on the Structure of Matter at the University of Pennsylvania which is funded in part by NSF MRSEC award 2309043. The equipment purchase was made possible by an NSF MRI grant (17-25969) , a ARO DURIP grant (W911NF-17-1-0282) , and the University of Pennsylvania.</t>
  </si>
  <si>
    <t>0376-7388</t>
  </si>
  <si>
    <t>1873-3123</t>
  </si>
  <si>
    <t>J MEMBRANE SCI</t>
  </si>
  <si>
    <t>J. Membr. Sci.</t>
  </si>
  <si>
    <t>10.1016/j.memsci.2025.124101</t>
  </si>
  <si>
    <t>Engineering, Chemical; Polymer Science</t>
  </si>
  <si>
    <t>Engineering; Polymer Science</t>
  </si>
  <si>
    <t>1YH2X</t>
  </si>
  <si>
    <t>WOS:001476524900001</t>
  </si>
  <si>
    <t>Ning, YF; Yang, DB; Liu, Z; Yang, SS; Zhang, YG; Osuji, CO; Saven, JG; Murray, CB</t>
  </si>
  <si>
    <t>Ning, Yifan; Yang, Dai-Bei; Liu, Zhe; Yang, Shengsong; Zhang, Yugang; Osuji, Chinedum O.; Saven, Jeffery G.; Murray, Christopher B.</t>
  </si>
  <si>
    <t>Reversible Physical Gelation of Thermotropic Liquid Crystals Driven by Nanoplate Self-Assembly</t>
  </si>
  <si>
    <t>nanoplate; self-assembly; reversible gelation; liquid crystal; in situ X-ray scattering; coarse-grainedsimulation</t>
  </si>
  <si>
    <t>ORGANIC LIQUIDS; GELLING AGENTS; IN-SITU; GELS; HYDROGELS; GELATORS; FIELD</t>
  </si>
  <si>
    <t>Physically gelled soft materials, driven by the self-assembly of low-molecular-mass gelators (LMGs), have emerged as a platform for designing advanced gels that exhibit reversible gelation and property tunability. Liquid crystal (LC) gels are of great interest due to their supramolecular orderings as gel hosts and their enhanced electro-optical properties. In this study, we demonstrate the physical gelation of a nematic LC driven by nanoplate self-assembly, expanding the concept of gelators from small molecules to nanoparticles. These nanoplates are functionalized with promesogenic ligands and form a fibrillar network in LCs with face-to-face interplate stacking, resembling LMGs. The critical gelation volume fraction in the tilt test is only 0.14 v %, comparable to values reported for LMGs. Rheological analyses confirm viscoelastic properties characteristic of gelation. In situ small-angle X-ray scattering (SAXS) characterizes the formation of nanoplate networks in the LC with decreasing temperature, wherein LC mesogens become trapped in pores. Molecular dynamics (MD) simulations reveal that the interaction between ligand-coated nanoplates and LC-forming mesogens induces a multidomain LC structure, increasing friction between LC domains and stabilizing the gel. This study establishes direct relationships among molecular interactions, nanostructures, and mechanical properties in physically gelled LCs. The findings inspire the future gelator design of both LMGs and nanoplates, with potential applicability in bioscaffold engineering and liquid crystalline nanocomposites.</t>
  </si>
  <si>
    <t>[Ning, Yifan; Yang, Dai-Bei; Yang, Shengsong; Saven, Jeffery G.; Murray, Christopher B.] Univ Penn, Dept Chem, Philadelphia, PA 19104 USA; [Liu, Zhe; Osuji, Chinedum O.] Univ Penn, Dept Chem &amp; Biomol Engn, Philadelphia, PA 19104 USA; [Murray, Christopher B.] Univ Penn, Dept Mat Sci &amp; Engn, Philadelphia, PA 19104 USA; [Zhang, Yugang] Brookhaven Natl Lab, Ctr Funct Nanomat, Upton, NY 11973 USA</t>
  </si>
  <si>
    <t>University of Pennsylvania; University of Pennsylvania; University of Pennsylvania; United States Department of Energy (DOE); Brookhaven National Laboratory</t>
  </si>
  <si>
    <t>Murray, CB (corresponding author), Univ Penn, Dept Chem, Philadelphia, PA 19104 USA.;Murray, CB (corresponding author), Univ Penn, Dept Mat Sci &amp; Engn, Philadelphia, PA 19104 USA.</t>
  </si>
  <si>
    <t>cbmurray@sas.upenn.edu</t>
  </si>
  <si>
    <t>; zhang, yugang/GQQ-2472-2022</t>
  </si>
  <si>
    <t>Yang, Shengsong/0000-0002-1386-7549; Liu, Zhe/0000-0001-5017-7881; Ning, Yifan/0000-0001-8033-0904; Yang, Dai-Bei/0009-0009-3327-6920;</t>
  </si>
  <si>
    <t>National Science Foundation [DMR2019444]; NSF STC-IMOD; John G. Miller Fellowship from the University of Pennsylvania [DE-SC0019282]; DOE [DMR2223705]; NSF [DMR2309043]; University of Pennsylvania Materials Research Science and Engineering Center (MRSEC); Richard Perry University Professorship at the University of Pennsylvania [DE-SC0012704]; U.S. DOE Office of Science Facilities at Brookhaven National Laboratory [NNCI-2025608]; NSF National Nanotechnology Coordinated Infrastructure Program; Advanced Cyberinfrastructure Coordination Ecosystem: Services &amp; Support (ACCESS) program [1548562, 2138259, 2138286, 2138307, 2137603, 2138296]; National Science Foundation</t>
  </si>
  <si>
    <t>National Science Foundation(National Science Foundation (NSF)); NSF STC-IMOD; John G. Miller Fellowship from the University of Pennsylvania; DOE(United States Department of Energy (DOE)); NSF(National Science Foundation (NSF)); University of Pennsylvania Materials Research Science and Engineering Center (MRSEC); Richard Perry University Professorship at the University of Pennsylvania; U.S. DOE Office of Science Facilities at Brookhaven National Laboratory(United States Department of Energy (DOE)); NSF National Nanotechnology Coordinated Infrastructure Program; Advanced Cyberinfrastructure Coordination Ecosystem: Services &amp; Support (ACCESS) program; National Science Foundation(National Science Foundation (NSF))</t>
  </si>
  <si>
    <t>The authors acknowledge primary support from NSF STC-IMOD under the award DMR2019444. D-B.Y. acknowledges a John G. Miller Fellowship from the University of Pennsylvania. J.G.S. acknowledges support from DOE (DE-SC0019282). C.O.O. acknowledges additional support from NSF through DMR2223705 and the University of Pennsylvania Materials Research Science and Engineering Center (MRSEC) under grant number DMR2309043. C.B.M. also acknowledges the Richard Perry University Professorship at the University of Pennsylvania. This research used resources from the Center for Functional Nanomaterials and the CMS beamline (11-BM) and SMI beamline (12-ID) of the National Synchrotron Light Source II, both supported by the U.S. DOE Office of Science Facilities at Brookhaven National Laboratory under Contract No. DE-SC0012704. We thank Dr. R. Li and Dr. H. Zhang for the discussions and help at the beamline. This work was carried out in part at the Singh Center for Nanotechnology, which is supported by the NSF National Nanotechnology Coordinated Infrastructure Program under grant NNCI-2025608. Simulations and modeling were performed using allocation TG-CHE110041 from the Advanced Cyberinfrastructure Coordination Ecosystem: Services &amp; Support (ACCESS) program, which is supported by National Science Foundation grants #1548562, #2138259, #2138286, #2138307, #2137603, and #2138296.</t>
  </si>
  <si>
    <t>10.1021/acsnano.5c06675</t>
  </si>
  <si>
    <t>4XW6K</t>
  </si>
  <si>
    <t>WOS:001522334300001</t>
  </si>
  <si>
    <t>Kim, BQ; Vicars, Z; Füredi, M; Escobedo, LF; Venkatesh, RB; Guldin, S; Patel, AJ; Lee, D</t>
  </si>
  <si>
    <t>Kim, Baekmin Q.; Vicars, Zachariah; Furedi, Mate; Escobedo, Lilia F.; Venkatesh, R. Bharath; Guldin, Stefan; Patel, Amish J.; Lee, Daeyeon</t>
  </si>
  <si>
    <t>Amphiphilic nanopores that condense undersaturated water vapor and exude water droplets</t>
  </si>
  <si>
    <t>INFILTRATED NANOPARTICLE FILMS; DENSITY-FLUCTUATIONS; THIN-FILMS; CAPILLARY; NANOSTRUCTURES; ADSORPTION; COATINGS; SILICON; MODEL</t>
  </si>
  <si>
    <t>Condensation of water vapor in confined geometries, known as capillary condensation, is a fundamental phenomenon with far-reaching implications. While hydrophilic pores enable liquid formation from undersaturated vapor without energy input, the condensate typically remains confined, limiting practical utility. Here, we explore the use of amphiphilic nanoporous polymer-infiltrated nanoparticle films that condense and release liquid water under isothermal and undersaturated conditions. By tuning the polymer fraction and nanoparticle size, we optimize condensation and droplet formation. As vapor pressure increases, voids fill with condensate, which subsequently exudes onto the surface as microscopic droplets. This behavior, enabled by a balance of polymer hydrophobicity and capillarity, reveals how amphiphilic nanostructures can drive accessible water collection. Our findings provide design insights for materials supporting energy-efficient water harvesting and heat management without external input.</t>
  </si>
  <si>
    <t>[Kim, Baekmin Q.; Vicars, Zachariah; Escobedo, Lilia F.; Venkatesh, R. Bharath; Patel, Amish J.; Lee, Daeyeon] Univ Penn, Dept Chem &amp; Biomol Engn, Philadelphia, PA 19104 USA; [Furedi, Mate; Guldin, Stefan] UCL, Dept Chem Engn, London WC1E 7JE, England; [Furedi, Mate] Semilab Semicond Phys Lab Co Ltd, H-1117 Budapest, Hungary; [Guldin, Stefan] Tech Univ Munich, Dept Life Sci Engn, D-85354 Freising Weihenstephan, Germany; [Guldin, Stefan] TUMCREATE Ltd, 1 Create Way,10-02 CREATE Tower, Singapore 138602, Singapore; [Venkatesh, R. Bharath] Univ Calif Santa Barbara, Dept Chem Engn, Santa Barbara, CA 93106 USA</t>
  </si>
  <si>
    <t>University of Pennsylvania; University of London; University College London; Technical University of Munich; University of California System; University of California Santa Barbara</t>
  </si>
  <si>
    <t>Patel, AJ; Lee, DY (corresponding author), Univ Penn, Dept Chem &amp; Biomol Engn, Philadelphia, PA 19104 USA.</t>
  </si>
  <si>
    <t>pamish@seas.upenn.edu; daeyeon@seas.upenn.edu</t>
  </si>
  <si>
    <t>Guldin, Stefan/JAC-5820-2023; Guldin, Stefan/A-7209-2011; Kim, Baekmin/MSX-6061-2025; Füredi, Máté/KOC-4602-2024</t>
  </si>
  <si>
    <t>Guldin, Stefan/0000-0002-4413-5527; Kim, Baekmin/0000-0002-6231-9741; Venkatesh, R Bharath/0000-0001-9928-9606; Füredi, Máté/0000-0002-4300-0591; PATEL, AMISH/0000-0001-6482-543X; Lee, Daeyeon/0000-0001-6679-290X; Escobedo, Lilia/0009-0004-4632-4876; Vicars, Zachariah/0000-0002-7730-3849</t>
  </si>
  <si>
    <t>National Science Foundation [NSF-2309043, NSF-1933704, DGE-2236662]; Department of Energy [DE-SC0021241]; Semilab UCL Chemical Engineering Impact PhD Studentship; Alfred P. Sloan Research Foundation [FG-2017-9406]; Camille &amp; Henry Dreyfus Foundation [TG-19-033]; U.S. Department of Energy (DOE) [DE-SC0021241] Funding Source: U.S. Department of Energy (DOE)</t>
  </si>
  <si>
    <t>National Science Foundation(National Science Foundation (NSF)); Department of Energy(United States Department of Energy (DOE)); Semilab UCL Chemical Engineering Impact PhD Studentship; Alfred P. Sloan Research Foundation(Alfred P. Sloan Foundation); Camille &amp; Henry Dreyfus Foundation; U.S. Department of Energy (DOE)(United States Department of Energy (DOE))</t>
  </si>
  <si>
    <t>This work was supported by the National Science Foundation grant NSF-2309043 (to B.Q.K. and D.L.), the National Science Foundation grant NSF-1933704 (to D.L.), the Department of Energy grant DE-SC0021241 (to Z.V.), the Semilab UCL Chemical Engineering Impact PhD Studentship (to M.F.), the National Science Foundation Graduate Research Fellowships Program grant DGE-2236662 (to L.F.E.), the Alfred P. Sloan Research Foundation grant FG-2017-9406 (to A.J.P.), and the Camille &amp; Henry Dreyfus Foundation grant TG-19-033 (to A.J.P.).</t>
  </si>
  <si>
    <t>MAY 21</t>
  </si>
  <si>
    <t>eadu8349</t>
  </si>
  <si>
    <t>10.1126/sciadv.adu8349</t>
  </si>
  <si>
    <t>2VG0D</t>
  </si>
  <si>
    <t>WOS:001492125100015</t>
  </si>
  <si>
    <t>Singh, S; Kim, KH; Jo, K; Musavigharavi, P; Kim, B; Zheng, JF; Trainor, N; Chen, C; Redwing, JM; Stach, EA; Olsson, RH III; Jariwala, D</t>
  </si>
  <si>
    <t>Singh, Simrjit; Kim, Kwan-Ho; Jo, Kiyoung; Musavigharavi, Pariasadat; Kim, Bumho; Zheng, Jeffrey; Trainor, Nicholas; Chen, Chen; Redwing, Joan M.; Stach, Eric A.; Olsson III, Roy H.; Jariwala, Deep</t>
  </si>
  <si>
    <t>Nonvolatile Control of Valley Polarized Emission in 2D WSe2-AlScN Heterostructures</t>
  </si>
  <si>
    <t>WSe2; ferroelectric; valley-polarization; non-volatile; nitrides</t>
  </si>
  <si>
    <t>SPIN COHERENCE; MONOLAYER MOS2; PHOTOLUMINESCENCE; TEMPERATURE; DEPENDENCE; ELECTRONS</t>
  </si>
  <si>
    <t>Achieving robust and electrically controlled valley polarization in monolayer transition metal dichalcogenides (ML-TMDs) is a frontier challenge for realistic valleytronic applications. Theoretical investigations show that the integration of 2D materials with ferroelectrics is a promising strategy; however, an experimental demonstration has remained elusive. Here, we fabricate ferroelectric field-effect transistors using a ML-WSe2 channel and an Al0.68Sc0.32N (AlScN) ferroelectric dielectric and experimentally demonstrate efficient tuning as well as non-volatile control of valley polarization. We measure a large array of transistors and obtain a maximum valley polarization of similar to 27% at 80 K with stable retention up to 5400 s. The enhancement in the valley polarization is ascribed to the efficient exciton-to-trion (X-T) conversion and its coupling with an out-of-plane electric field, viz., the quantum-confined Stark effect. This changes the valley depolarization pathway from strong exchange interactions to slow spin-flip intervalley scattering. Our research demonstrates a promising approach for achieving non-volatile control over valley polarization for practical valleytronic device applications.</t>
  </si>
  <si>
    <t>[Singh, Simrjit; Kim, Kwan-Ho; Jo, Kiyoung; Musavigharavi, Pariasadat; Olsson III, Roy H.; Jariwala, Deep] Univ Penn, Dept Elect &amp; Syst Engn, Philadelphia, PA 19104 USA; [Singh, Simrjit] Eindhoven Univ Technol, Dept Appl Phys &amp; Sci Educ, NL-5600 MB Eindhoven, Netherlands; [Musavigharavi, Pariasadat; Zheng, Jeffrey; Stach, Eric A.] Univ Penn, Dept Mat Sci &amp; Engn, Philadelphia, PA 19104 USA; [Musavigharavi, Pariasadat] Univ Cent Florida, Dept Mat Sci &amp; Engn, Orlando, FL 32816 USA; [Kim, Bumho] Univ Penn, Dept Phys &amp; Astron, Philadelphia, PA 19104 USA; [Trainor, Nicholas; Redwing, Joan M.] Penn State Univ, Dept Mat Sci &amp; Engn, University Pk, PA 16801 USA; [Chen, Chen; Redwing, Joan M.] Penn State Univ, Mat Res Inst, 2D Crystal Consortium Mat Innovat Platform, University Pk, PA 16801 USA</t>
  </si>
  <si>
    <t>University of Pennsylvania; Eindhoven University of Technology; University of Pennsylvania; State University System of Florida; University of Central Florida; University of Pennsylvania; Pennsylvania Commonwealth System of Higher Education (PCSHE); Pennsylvania State University; Pennsylvania State University - University Park; Pennsylvania Commonwealth System of Higher Education (PCSHE); Pennsylvania State University; Pennsylvania State University - University Park</t>
  </si>
  <si>
    <t>Jariwala, Deep/E-9913-2013; Kim, Kwan-Ho/IYS-3513-2023; Kim, Bumho/ABB-9949-2021; Redwing, Joan/V-7528-2017; Stach, Eric/D-8545-2011</t>
  </si>
  <si>
    <t>Kim, Bumho/0000-0002-5671-5641; Redwing, Joan/0000-0002-7906-452X; Musavigharavi, Pariasadat/0000-0002-2977-5868; Stach, Eric/0000-0002-3366-2153</t>
  </si>
  <si>
    <t>Air Force Office of Scientific Research (AFOSR) [FA9550-23-1-0391]; Fulbright-Nehru fellowship by United States-India Education Foundation (USIEF); European Union [899987]; Asian Office of Aerospace Research and Development (AOARD) of the AFOSR [FA2386-20-1-4074, FA2386-21-1-4063]; Vagelos Institute of Energy Science and Technology Graduate Fellowship; U.S. Office of Naval Research (ONR) [N00014-20-1-2325]; NSF CAREER Award [1944248]; National Science Foundation Graduate Research Fellowship Program [DGE1255832]; NSF [DMR-2039351]; NSF National Nanotechnology Coordinated Infrastructure Program [NNCI-1542153]; NSF University of Pennsylvania Materials Research Science and Engineering Center (MRSEC) [DMR-1720530, 2309043]</t>
  </si>
  <si>
    <t>Air Force Office of Scientific Research (AFOSR)(United States Department of DefenseAir Force Office of Scientific Research (AFOSR)); Fulbright-Nehru fellowship by United States-India Education Foundation (USIEF); European Union(European Union (EU)); Asian Office of Aerospace Research and Development (AOARD) of the AFOSR; Vagelos Institute of Energy Science and Technology Graduate Fellowship; U.S. Office of Naval Research (ONR)(United States Department of DefenseUnited States NavyOffice of Naval Research); NSF CAREER Award(National Science Foundation (NSF)NSF - Office of the Director (OD)); National Science Foundation Graduate Research Fellowship Program(National Science Foundation (NSF)); NSF(National Science Foundation (NSF)); NSF National Nanotechnology Coordinated Infrastructure Program; NSF University of Pennsylvania Materials Research Science and Engineering Center (MRSEC)(National Science Foundation (NSF))</t>
  </si>
  <si>
    <t>D.J. and K-H.K. acknowledge primary funding support by the Air Force Office of Scientific Research (AFOSR) GHz-THz core program FA9550-23-1-0391. S.S. acknowledges support from the Fulbright-Nehru fellowship by United States-India Education Foundation (USIEF). S.S. also acknowledges partial support from the European Union's Horizon 2020 research and innovation program under the Marie Sklodowska-Curie grant agreement No. 899987. D.J. and K.J. acknowledge partial support from the Asian Office of Aerospace Research and Development (AOARD) of the AFOSR FA2386-20-1-4074 and FA2386-21-1-4063. K.J. acknowledges partial support from the Vagelos Institute of Energy Science and Technology Graduate Fellowship. Work by B.K. is supported by the U.S. Office of Naval Research (ONR) through grant N00014-20-1-2325 on Robust Photonic Materials with High-Order Topological Protection. R.H.O. acknowledges support from the NSF CAREER Award (1944248). N.T. acknowledges support from the National Science Foundation Graduate Research Fellowship Program under Grant No. DGE1255832. The MOCVD WSe2 samples were provided by the 2D Crystal Consortium Materials Innovation Platform (2DCC-MIP) facility at Penn State which is funded by NSF under cooperative agreement DMR-2039351. Microfabrication and electron microscopy were performed at the Singh Center for Nanotechnology, supported by the NSF National Nanotechnology Coordinated Infrastructure Program (NNCI-1542153). The authors acknowledge the use of facilities and instrumentation supported by NSF University of Pennsylvania Materials Research Science and Engineering Center (MRSEC) (DMR-1720530 and 2309043).</t>
  </si>
  <si>
    <t>JUN 26</t>
  </si>
  <si>
    <t>10.1021/acsnano.4c04684</t>
  </si>
  <si>
    <t>GH8PT</t>
  </si>
  <si>
    <t>WOS:001255777300001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</si>
</sst>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A864C-316D-E046-83B7-F76D94971EBA}">
  <dimension ref="A1:BT126"/>
  <sheetViews>
    <sheetView tabSelected="1" workbookViewId="0"/>
  </sheetViews>
  <sheetFormatPr baseColWidth="10" defaultRowHeight="13" x14ac:dyDescent="0.15"/>
  <cols>
    <col min="1" max="256" width="8.83203125" customWidth="1"/>
  </cols>
  <sheetData>
    <row r="1" spans="1:72" x14ac:dyDescent="0.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row>
    <row r="2" spans="1:72" x14ac:dyDescent="0.15">
      <c r="A2" t="s">
        <v>72</v>
      </c>
      <c r="B2" t="s">
        <v>73</v>
      </c>
      <c r="C2" t="s">
        <v>74</v>
      </c>
      <c r="D2" t="s">
        <v>74</v>
      </c>
      <c r="E2" t="s">
        <v>74</v>
      </c>
      <c r="F2" t="s">
        <v>75</v>
      </c>
      <c r="G2" t="s">
        <v>74</v>
      </c>
      <c r="H2" t="s">
        <v>74</v>
      </c>
      <c r="I2" t="s">
        <v>76</v>
      </c>
      <c r="J2" t="s">
        <v>77</v>
      </c>
      <c r="K2" t="s">
        <v>74</v>
      </c>
      <c r="L2" t="s">
        <v>74</v>
      </c>
      <c r="M2" t="s">
        <v>78</v>
      </c>
      <c r="N2" t="s">
        <v>79</v>
      </c>
      <c r="O2" t="s">
        <v>74</v>
      </c>
      <c r="P2" t="s">
        <v>74</v>
      </c>
      <c r="Q2" t="s">
        <v>74</v>
      </c>
      <c r="R2" t="s">
        <v>74</v>
      </c>
      <c r="S2" t="s">
        <v>74</v>
      </c>
      <c r="T2" t="s">
        <v>80</v>
      </c>
      <c r="U2" t="s">
        <v>81</v>
      </c>
      <c r="V2" t="s">
        <v>82</v>
      </c>
      <c r="W2" t="s">
        <v>83</v>
      </c>
      <c r="X2" t="s">
        <v>84</v>
      </c>
      <c r="Y2" t="s">
        <v>85</v>
      </c>
      <c r="Z2" t="s">
        <v>86</v>
      </c>
      <c r="AA2" t="s">
        <v>87</v>
      </c>
      <c r="AB2" t="s">
        <v>88</v>
      </c>
      <c r="AC2" t="s">
        <v>89</v>
      </c>
      <c r="AD2" t="s">
        <v>90</v>
      </c>
      <c r="AE2" t="s">
        <v>91</v>
      </c>
      <c r="AF2" t="s">
        <v>74</v>
      </c>
      <c r="AG2">
        <v>55</v>
      </c>
      <c r="AH2">
        <v>2</v>
      </c>
      <c r="AI2">
        <v>3</v>
      </c>
      <c r="AJ2">
        <v>8</v>
      </c>
      <c r="AK2">
        <v>10</v>
      </c>
      <c r="AL2" t="s">
        <v>92</v>
      </c>
      <c r="AM2" t="s">
        <v>93</v>
      </c>
      <c r="AN2" t="s">
        <v>94</v>
      </c>
      <c r="AO2" t="s">
        <v>95</v>
      </c>
      <c r="AP2" t="s">
        <v>96</v>
      </c>
      <c r="AQ2" t="s">
        <v>74</v>
      </c>
      <c r="AR2" t="s">
        <v>97</v>
      </c>
      <c r="AS2" t="s">
        <v>98</v>
      </c>
      <c r="AT2" t="s">
        <v>99</v>
      </c>
      <c r="AU2">
        <v>2024</v>
      </c>
      <c r="AV2">
        <v>229</v>
      </c>
      <c r="AW2" t="s">
        <v>74</v>
      </c>
      <c r="AX2" t="s">
        <v>74</v>
      </c>
      <c r="AY2" t="s">
        <v>74</v>
      </c>
      <c r="AZ2" t="s">
        <v>74</v>
      </c>
      <c r="BA2" t="s">
        <v>74</v>
      </c>
      <c r="BB2" t="s">
        <v>74</v>
      </c>
      <c r="BC2" t="s">
        <v>74</v>
      </c>
      <c r="BD2">
        <v>110987</v>
      </c>
      <c r="BE2" t="s">
        <v>100</v>
      </c>
      <c r="BF2" t="str">
        <f>HYPERLINK("http://dx.doi.org/10.1016/j.polymdegradstab.2024.110987","http://dx.doi.org/10.1016/j.polymdegradstab.2024.110987")</f>
        <v>http://dx.doi.org/10.1016/j.polymdegradstab.2024.110987</v>
      </c>
      <c r="BG2" t="s">
        <v>74</v>
      </c>
      <c r="BH2" t="s">
        <v>101</v>
      </c>
      <c r="BI2">
        <v>7</v>
      </c>
      <c r="BJ2" t="s">
        <v>102</v>
      </c>
      <c r="BK2" t="s">
        <v>103</v>
      </c>
      <c r="BL2" t="s">
        <v>102</v>
      </c>
      <c r="BM2" t="s">
        <v>104</v>
      </c>
      <c r="BN2" t="s">
        <v>74</v>
      </c>
      <c r="BO2" t="s">
        <v>105</v>
      </c>
      <c r="BP2" t="s">
        <v>74</v>
      </c>
      <c r="BQ2" t="s">
        <v>74</v>
      </c>
      <c r="BR2" t="s">
        <v>106</v>
      </c>
      <c r="BS2" t="s">
        <v>107</v>
      </c>
      <c r="BT2" t="str">
        <f>HYPERLINK("https%3A%2F%2Fwww.webofscience.com%2Fwos%2Fwoscc%2Ffull-record%2FWOS:001317495400001","View Full Record in Web of Science")</f>
        <v>View Full Record in Web of Science</v>
      </c>
    </row>
    <row r="3" spans="1:72" x14ac:dyDescent="0.15">
      <c r="A3" t="s">
        <v>72</v>
      </c>
      <c r="B3" t="s">
        <v>108</v>
      </c>
      <c r="C3" t="s">
        <v>74</v>
      </c>
      <c r="D3" t="s">
        <v>74</v>
      </c>
      <c r="E3" t="s">
        <v>74</v>
      </c>
      <c r="F3" t="s">
        <v>109</v>
      </c>
      <c r="G3" t="s">
        <v>74</v>
      </c>
      <c r="H3" t="s">
        <v>74</v>
      </c>
      <c r="I3" t="s">
        <v>110</v>
      </c>
      <c r="J3" t="s">
        <v>111</v>
      </c>
      <c r="K3" t="s">
        <v>74</v>
      </c>
      <c r="L3" t="s">
        <v>74</v>
      </c>
      <c r="M3" t="s">
        <v>78</v>
      </c>
      <c r="N3" t="s">
        <v>79</v>
      </c>
      <c r="O3" t="s">
        <v>74</v>
      </c>
      <c r="P3" t="s">
        <v>74</v>
      </c>
      <c r="Q3" t="s">
        <v>74</v>
      </c>
      <c r="R3" t="s">
        <v>74</v>
      </c>
      <c r="S3" t="s">
        <v>74</v>
      </c>
      <c r="T3" t="s">
        <v>112</v>
      </c>
      <c r="U3" t="s">
        <v>113</v>
      </c>
      <c r="V3" t="s">
        <v>114</v>
      </c>
      <c r="W3" t="s">
        <v>115</v>
      </c>
      <c r="X3" t="s">
        <v>116</v>
      </c>
      <c r="Y3" t="s">
        <v>117</v>
      </c>
      <c r="Z3" t="s">
        <v>118</v>
      </c>
      <c r="AA3" t="s">
        <v>74</v>
      </c>
      <c r="AB3" t="s">
        <v>119</v>
      </c>
      <c r="AC3" t="s">
        <v>120</v>
      </c>
      <c r="AD3" t="s">
        <v>121</v>
      </c>
      <c r="AE3" t="s">
        <v>122</v>
      </c>
      <c r="AF3" t="s">
        <v>74</v>
      </c>
      <c r="AG3">
        <v>31</v>
      </c>
      <c r="AH3">
        <v>3</v>
      </c>
      <c r="AI3">
        <v>3</v>
      </c>
      <c r="AJ3">
        <v>2</v>
      </c>
      <c r="AK3">
        <v>10</v>
      </c>
      <c r="AL3" t="s">
        <v>123</v>
      </c>
      <c r="AM3" t="s">
        <v>124</v>
      </c>
      <c r="AN3" t="s">
        <v>125</v>
      </c>
      <c r="AO3" t="s">
        <v>126</v>
      </c>
      <c r="AP3" t="s">
        <v>127</v>
      </c>
      <c r="AQ3" t="s">
        <v>74</v>
      </c>
      <c r="AR3" t="s">
        <v>128</v>
      </c>
      <c r="AS3" t="s">
        <v>129</v>
      </c>
      <c r="AT3" t="s">
        <v>130</v>
      </c>
      <c r="AU3">
        <v>2024</v>
      </c>
      <c r="AV3">
        <v>989</v>
      </c>
      <c r="AW3" t="s">
        <v>74</v>
      </c>
      <c r="AX3" t="s">
        <v>74</v>
      </c>
      <c r="AY3" t="s">
        <v>74</v>
      </c>
      <c r="AZ3" t="s">
        <v>74</v>
      </c>
      <c r="BA3" t="s">
        <v>74</v>
      </c>
      <c r="BB3" t="s">
        <v>74</v>
      </c>
      <c r="BC3" t="s">
        <v>74</v>
      </c>
      <c r="BD3" t="s">
        <v>131</v>
      </c>
      <c r="BE3" t="s">
        <v>132</v>
      </c>
      <c r="BF3" t="str">
        <f>HYPERLINK("http://dx.doi.org/10.1017/jfm.2024.480","http://dx.doi.org/10.1017/jfm.2024.480")</f>
        <v>http://dx.doi.org/10.1017/jfm.2024.480</v>
      </c>
      <c r="BG3" t="s">
        <v>74</v>
      </c>
      <c r="BH3" t="s">
        <v>74</v>
      </c>
      <c r="BI3">
        <v>37</v>
      </c>
      <c r="BJ3" t="s">
        <v>133</v>
      </c>
      <c r="BK3" t="s">
        <v>103</v>
      </c>
      <c r="BL3" t="s">
        <v>134</v>
      </c>
      <c r="BM3" t="s">
        <v>135</v>
      </c>
      <c r="BN3" t="s">
        <v>74</v>
      </c>
      <c r="BO3" t="s">
        <v>136</v>
      </c>
      <c r="BP3" t="s">
        <v>74</v>
      </c>
      <c r="BQ3" t="s">
        <v>74</v>
      </c>
      <c r="BR3" t="s">
        <v>106</v>
      </c>
      <c r="BS3" t="s">
        <v>137</v>
      </c>
      <c r="BT3" t="str">
        <f>HYPERLINK("https%3A%2F%2Fwww.webofscience.com%2Fwos%2Fwoscc%2Ffull-record%2FWOS:001278750300001","View Full Record in Web of Science")</f>
        <v>View Full Record in Web of Science</v>
      </c>
    </row>
    <row r="4" spans="1:72" x14ac:dyDescent="0.15">
      <c r="A4" t="s">
        <v>72</v>
      </c>
      <c r="B4" t="s">
        <v>138</v>
      </c>
      <c r="C4" t="s">
        <v>74</v>
      </c>
      <c r="D4" t="s">
        <v>74</v>
      </c>
      <c r="E4" t="s">
        <v>74</v>
      </c>
      <c r="F4" t="s">
        <v>139</v>
      </c>
      <c r="G4" t="s">
        <v>74</v>
      </c>
      <c r="H4" t="s">
        <v>74</v>
      </c>
      <c r="I4" t="s">
        <v>140</v>
      </c>
      <c r="J4" t="s">
        <v>141</v>
      </c>
      <c r="K4" t="s">
        <v>74</v>
      </c>
      <c r="L4" t="s">
        <v>74</v>
      </c>
      <c r="M4" t="s">
        <v>78</v>
      </c>
      <c r="N4" t="s">
        <v>79</v>
      </c>
      <c r="O4" t="s">
        <v>74</v>
      </c>
      <c r="P4" t="s">
        <v>74</v>
      </c>
      <c r="Q4" t="s">
        <v>74</v>
      </c>
      <c r="R4" t="s">
        <v>74</v>
      </c>
      <c r="S4" t="s">
        <v>74</v>
      </c>
      <c r="T4" t="s">
        <v>74</v>
      </c>
      <c r="U4" t="s">
        <v>142</v>
      </c>
      <c r="V4" t="s">
        <v>143</v>
      </c>
      <c r="W4" t="s">
        <v>144</v>
      </c>
      <c r="X4" t="s">
        <v>145</v>
      </c>
      <c r="Y4" t="s">
        <v>146</v>
      </c>
      <c r="Z4" t="s">
        <v>147</v>
      </c>
      <c r="AA4" t="s">
        <v>74</v>
      </c>
      <c r="AB4" t="s">
        <v>148</v>
      </c>
      <c r="AC4" t="s">
        <v>149</v>
      </c>
      <c r="AD4" t="s">
        <v>150</v>
      </c>
      <c r="AE4" t="s">
        <v>151</v>
      </c>
      <c r="AF4" t="s">
        <v>74</v>
      </c>
      <c r="AG4">
        <v>60</v>
      </c>
      <c r="AH4">
        <v>2</v>
      </c>
      <c r="AI4">
        <v>2</v>
      </c>
      <c r="AJ4">
        <v>8</v>
      </c>
      <c r="AK4">
        <v>8</v>
      </c>
      <c r="AL4" t="s">
        <v>152</v>
      </c>
      <c r="AM4" t="s">
        <v>153</v>
      </c>
      <c r="AN4" t="s">
        <v>154</v>
      </c>
      <c r="AO4" t="s">
        <v>155</v>
      </c>
      <c r="AP4" t="s">
        <v>156</v>
      </c>
      <c r="AQ4" t="s">
        <v>74</v>
      </c>
      <c r="AR4" t="s">
        <v>141</v>
      </c>
      <c r="AS4" t="s">
        <v>157</v>
      </c>
      <c r="AT4" t="s">
        <v>158</v>
      </c>
      <c r="AU4">
        <v>2025</v>
      </c>
      <c r="AV4">
        <v>58</v>
      </c>
      <c r="AW4">
        <v>23</v>
      </c>
      <c r="AX4" t="s">
        <v>74</v>
      </c>
      <c r="AY4" t="s">
        <v>74</v>
      </c>
      <c r="AZ4" t="s">
        <v>74</v>
      </c>
      <c r="BA4" t="s">
        <v>74</v>
      </c>
      <c r="BB4">
        <v>12693</v>
      </c>
      <c r="BC4">
        <v>12701</v>
      </c>
      <c r="BD4" t="s">
        <v>74</v>
      </c>
      <c r="BE4" t="s">
        <v>159</v>
      </c>
      <c r="BF4" t="str">
        <f>HYPERLINK("http://dx.doi.org/10.1021/acs.macromol.5c02149","http://dx.doi.org/10.1021/acs.macromol.5c02149")</f>
        <v>http://dx.doi.org/10.1021/acs.macromol.5c02149</v>
      </c>
      <c r="BG4" t="s">
        <v>74</v>
      </c>
      <c r="BH4" t="s">
        <v>160</v>
      </c>
      <c r="BI4">
        <v>9</v>
      </c>
      <c r="BJ4" t="s">
        <v>102</v>
      </c>
      <c r="BK4" t="s">
        <v>103</v>
      </c>
      <c r="BL4" t="s">
        <v>102</v>
      </c>
      <c r="BM4" t="s">
        <v>161</v>
      </c>
      <c r="BN4" t="s">
        <v>74</v>
      </c>
      <c r="BO4" t="s">
        <v>74</v>
      </c>
      <c r="BP4" t="s">
        <v>74</v>
      </c>
      <c r="BQ4" t="s">
        <v>74</v>
      </c>
      <c r="BR4" t="s">
        <v>106</v>
      </c>
      <c r="BS4" t="s">
        <v>162</v>
      </c>
      <c r="BT4" t="str">
        <f>HYPERLINK("https%3A%2F%2Fwww.webofscience.com%2Fwos%2Fwoscc%2Ffull-record%2FWOS:001618589100001","View Full Record in Web of Science")</f>
        <v>View Full Record in Web of Science</v>
      </c>
    </row>
    <row r="5" spans="1:72" x14ac:dyDescent="0.15">
      <c r="A5" t="s">
        <v>72</v>
      </c>
      <c r="B5" t="s">
        <v>163</v>
      </c>
      <c r="C5" t="s">
        <v>74</v>
      </c>
      <c r="D5" t="s">
        <v>74</v>
      </c>
      <c r="E5" t="s">
        <v>74</v>
      </c>
      <c r="F5" t="s">
        <v>164</v>
      </c>
      <c r="G5" t="s">
        <v>74</v>
      </c>
      <c r="H5" t="s">
        <v>74</v>
      </c>
      <c r="I5" t="s">
        <v>165</v>
      </c>
      <c r="J5" t="s">
        <v>166</v>
      </c>
      <c r="K5" t="s">
        <v>74</v>
      </c>
      <c r="L5" t="s">
        <v>74</v>
      </c>
      <c r="M5" t="s">
        <v>78</v>
      </c>
      <c r="N5" t="s">
        <v>79</v>
      </c>
      <c r="O5" t="s">
        <v>74</v>
      </c>
      <c r="P5" t="s">
        <v>74</v>
      </c>
      <c r="Q5" t="s">
        <v>74</v>
      </c>
      <c r="R5" t="s">
        <v>74</v>
      </c>
      <c r="S5" t="s">
        <v>74</v>
      </c>
      <c r="T5" t="s">
        <v>167</v>
      </c>
      <c r="U5" t="s">
        <v>168</v>
      </c>
      <c r="V5" t="s">
        <v>169</v>
      </c>
      <c r="W5" t="s">
        <v>170</v>
      </c>
      <c r="X5" t="s">
        <v>171</v>
      </c>
      <c r="Y5" t="s">
        <v>172</v>
      </c>
      <c r="Z5" t="s">
        <v>173</v>
      </c>
      <c r="AA5" t="s">
        <v>174</v>
      </c>
      <c r="AB5" t="s">
        <v>175</v>
      </c>
      <c r="AC5" t="s">
        <v>176</v>
      </c>
      <c r="AD5" t="s">
        <v>177</v>
      </c>
      <c r="AE5" t="s">
        <v>178</v>
      </c>
      <c r="AF5" t="s">
        <v>74</v>
      </c>
      <c r="AG5">
        <v>43</v>
      </c>
      <c r="AH5">
        <v>1</v>
      </c>
      <c r="AI5">
        <v>1</v>
      </c>
      <c r="AJ5">
        <v>0</v>
      </c>
      <c r="AK5">
        <v>0</v>
      </c>
      <c r="AL5" t="s">
        <v>179</v>
      </c>
      <c r="AM5" t="s">
        <v>180</v>
      </c>
      <c r="AN5" t="s">
        <v>181</v>
      </c>
      <c r="AO5" t="s">
        <v>182</v>
      </c>
      <c r="AP5" t="s">
        <v>74</v>
      </c>
      <c r="AQ5" t="s">
        <v>74</v>
      </c>
      <c r="AR5" t="s">
        <v>183</v>
      </c>
      <c r="AS5" t="s">
        <v>184</v>
      </c>
      <c r="AT5" t="s">
        <v>185</v>
      </c>
      <c r="AU5">
        <v>2026</v>
      </c>
      <c r="AV5">
        <v>13</v>
      </c>
      <c r="AW5">
        <v>5</v>
      </c>
      <c r="AX5" t="s">
        <v>74</v>
      </c>
      <c r="AY5" t="s">
        <v>74</v>
      </c>
      <c r="AZ5" t="s">
        <v>74</v>
      </c>
      <c r="BA5" t="s">
        <v>74</v>
      </c>
      <c r="BB5" t="s">
        <v>74</v>
      </c>
      <c r="BC5" t="s">
        <v>74</v>
      </c>
      <c r="BD5" t="s">
        <v>74</v>
      </c>
      <c r="BE5" t="s">
        <v>186</v>
      </c>
      <c r="BF5" t="str">
        <f>HYPERLINK("http://dx.doi.org/10.1002/admi.202500944","http://dx.doi.org/10.1002/admi.202500944")</f>
        <v>http://dx.doi.org/10.1002/admi.202500944</v>
      </c>
      <c r="BG5" t="s">
        <v>74</v>
      </c>
      <c r="BH5" t="s">
        <v>187</v>
      </c>
      <c r="BI5">
        <v>12</v>
      </c>
      <c r="BJ5" t="s">
        <v>188</v>
      </c>
      <c r="BK5" t="s">
        <v>103</v>
      </c>
      <c r="BL5" t="s">
        <v>189</v>
      </c>
      <c r="BM5" t="s">
        <v>190</v>
      </c>
      <c r="BN5" t="s">
        <v>74</v>
      </c>
      <c r="BO5" t="s">
        <v>191</v>
      </c>
      <c r="BP5" t="s">
        <v>74</v>
      </c>
      <c r="BQ5" t="s">
        <v>74</v>
      </c>
      <c r="BR5" t="s">
        <v>106</v>
      </c>
      <c r="BS5" t="s">
        <v>192</v>
      </c>
      <c r="BT5" t="str">
        <f>HYPERLINK("https%3A%2F%2Fwww.webofscience.com%2Fwos%2Fwoscc%2Ffull-record%2FWOS:001694144400001","View Full Record in Web of Science")</f>
        <v>View Full Record in Web of Science</v>
      </c>
    </row>
    <row r="6" spans="1:72" x14ac:dyDescent="0.15">
      <c r="A6" t="s">
        <v>72</v>
      </c>
      <c r="B6" t="s">
        <v>193</v>
      </c>
      <c r="C6" t="s">
        <v>74</v>
      </c>
      <c r="D6" t="s">
        <v>74</v>
      </c>
      <c r="E6" t="s">
        <v>74</v>
      </c>
      <c r="F6" t="s">
        <v>194</v>
      </c>
      <c r="G6" t="s">
        <v>74</v>
      </c>
      <c r="H6" t="s">
        <v>74</v>
      </c>
      <c r="I6" t="s">
        <v>195</v>
      </c>
      <c r="J6" t="s">
        <v>141</v>
      </c>
      <c r="K6" t="s">
        <v>74</v>
      </c>
      <c r="L6" t="s">
        <v>74</v>
      </c>
      <c r="M6" t="s">
        <v>78</v>
      </c>
      <c r="N6" t="s">
        <v>79</v>
      </c>
      <c r="O6" t="s">
        <v>74</v>
      </c>
      <c r="P6" t="s">
        <v>74</v>
      </c>
      <c r="Q6" t="s">
        <v>74</v>
      </c>
      <c r="R6" t="s">
        <v>74</v>
      </c>
      <c r="S6" t="s">
        <v>74</v>
      </c>
      <c r="T6" t="s">
        <v>74</v>
      </c>
      <c r="U6" t="s">
        <v>196</v>
      </c>
      <c r="V6" t="s">
        <v>197</v>
      </c>
      <c r="W6" t="s">
        <v>198</v>
      </c>
      <c r="X6" t="s">
        <v>145</v>
      </c>
      <c r="Y6" t="s">
        <v>199</v>
      </c>
      <c r="Z6" t="s">
        <v>200</v>
      </c>
      <c r="AA6" t="s">
        <v>201</v>
      </c>
      <c r="AB6" t="s">
        <v>202</v>
      </c>
      <c r="AC6" t="s">
        <v>203</v>
      </c>
      <c r="AD6" t="s">
        <v>204</v>
      </c>
      <c r="AE6" t="s">
        <v>205</v>
      </c>
      <c r="AF6" t="s">
        <v>74</v>
      </c>
      <c r="AG6">
        <v>41</v>
      </c>
      <c r="AH6">
        <v>4</v>
      </c>
      <c r="AI6">
        <v>4</v>
      </c>
      <c r="AJ6">
        <v>1</v>
      </c>
      <c r="AK6">
        <v>11</v>
      </c>
      <c r="AL6" t="s">
        <v>152</v>
      </c>
      <c r="AM6" t="s">
        <v>153</v>
      </c>
      <c r="AN6" t="s">
        <v>154</v>
      </c>
      <c r="AO6" t="s">
        <v>155</v>
      </c>
      <c r="AP6" t="s">
        <v>156</v>
      </c>
      <c r="AQ6" t="s">
        <v>74</v>
      </c>
      <c r="AR6" t="s">
        <v>141</v>
      </c>
      <c r="AS6" t="s">
        <v>157</v>
      </c>
      <c r="AT6" t="s">
        <v>206</v>
      </c>
      <c r="AU6">
        <v>2024</v>
      </c>
      <c r="AV6">
        <v>57</v>
      </c>
      <c r="AW6">
        <v>14</v>
      </c>
      <c r="AX6" t="s">
        <v>74</v>
      </c>
      <c r="AY6" t="s">
        <v>74</v>
      </c>
      <c r="AZ6" t="s">
        <v>74</v>
      </c>
      <c r="BA6" t="s">
        <v>74</v>
      </c>
      <c r="BB6">
        <v>6789</v>
      </c>
      <c r="BC6">
        <v>6795</v>
      </c>
      <c r="BD6" t="s">
        <v>74</v>
      </c>
      <c r="BE6" t="s">
        <v>207</v>
      </c>
      <c r="BF6" t="str">
        <f>HYPERLINK("http://dx.doi.org/10.1021/acs.macromol.4c00808","http://dx.doi.org/10.1021/acs.macromol.4c00808")</f>
        <v>http://dx.doi.org/10.1021/acs.macromol.4c00808</v>
      </c>
      <c r="BG6" t="s">
        <v>74</v>
      </c>
      <c r="BH6" t="s">
        <v>208</v>
      </c>
      <c r="BI6">
        <v>7</v>
      </c>
      <c r="BJ6" t="s">
        <v>102</v>
      </c>
      <c r="BK6" t="s">
        <v>103</v>
      </c>
      <c r="BL6" t="s">
        <v>102</v>
      </c>
      <c r="BM6" t="s">
        <v>209</v>
      </c>
      <c r="BN6" t="s">
        <v>74</v>
      </c>
      <c r="BO6" t="s">
        <v>74</v>
      </c>
      <c r="BP6" t="s">
        <v>74</v>
      </c>
      <c r="BQ6" t="s">
        <v>74</v>
      </c>
      <c r="BR6" t="s">
        <v>106</v>
      </c>
      <c r="BS6" t="s">
        <v>210</v>
      </c>
      <c r="BT6" t="str">
        <f>HYPERLINK("https%3A%2F%2Fwww.webofscience.com%2Fwos%2Fwoscc%2Ffull-record%2FWOS:001275267300001","View Full Record in Web of Science")</f>
        <v>View Full Record in Web of Science</v>
      </c>
    </row>
    <row r="7" spans="1:72" x14ac:dyDescent="0.15">
      <c r="A7" t="s">
        <v>72</v>
      </c>
      <c r="B7" t="s">
        <v>211</v>
      </c>
      <c r="C7" t="s">
        <v>74</v>
      </c>
      <c r="D7" t="s">
        <v>74</v>
      </c>
      <c r="E7" t="s">
        <v>74</v>
      </c>
      <c r="F7" t="s">
        <v>212</v>
      </c>
      <c r="G7" t="s">
        <v>74</v>
      </c>
      <c r="H7" t="s">
        <v>74</v>
      </c>
      <c r="I7" t="s">
        <v>213</v>
      </c>
      <c r="J7" t="s">
        <v>214</v>
      </c>
      <c r="K7" t="s">
        <v>74</v>
      </c>
      <c r="L7" t="s">
        <v>74</v>
      </c>
      <c r="M7" t="s">
        <v>78</v>
      </c>
      <c r="N7" t="s">
        <v>79</v>
      </c>
      <c r="O7" t="s">
        <v>74</v>
      </c>
      <c r="P7" t="s">
        <v>74</v>
      </c>
      <c r="Q7" t="s">
        <v>74</v>
      </c>
      <c r="R7" t="s">
        <v>74</v>
      </c>
      <c r="S7" t="s">
        <v>74</v>
      </c>
      <c r="T7" t="s">
        <v>215</v>
      </c>
      <c r="U7" t="s">
        <v>216</v>
      </c>
      <c r="V7" t="s">
        <v>217</v>
      </c>
      <c r="W7" t="s">
        <v>218</v>
      </c>
      <c r="X7" t="s">
        <v>219</v>
      </c>
      <c r="Y7" t="s">
        <v>220</v>
      </c>
      <c r="Z7" t="s">
        <v>221</v>
      </c>
      <c r="AA7" t="s">
        <v>222</v>
      </c>
      <c r="AB7" t="s">
        <v>223</v>
      </c>
      <c r="AC7" t="s">
        <v>224</v>
      </c>
      <c r="AD7" t="s">
        <v>225</v>
      </c>
      <c r="AE7" t="s">
        <v>226</v>
      </c>
      <c r="AF7" t="s">
        <v>74</v>
      </c>
      <c r="AG7">
        <v>62</v>
      </c>
      <c r="AH7">
        <v>13</v>
      </c>
      <c r="AI7">
        <v>16</v>
      </c>
      <c r="AJ7">
        <v>1</v>
      </c>
      <c r="AK7">
        <v>8</v>
      </c>
      <c r="AL7" t="s">
        <v>227</v>
      </c>
      <c r="AM7" t="s">
        <v>228</v>
      </c>
      <c r="AN7" t="s">
        <v>229</v>
      </c>
      <c r="AO7" t="s">
        <v>230</v>
      </c>
      <c r="AP7" t="s">
        <v>74</v>
      </c>
      <c r="AQ7" t="s">
        <v>74</v>
      </c>
      <c r="AR7" t="s">
        <v>231</v>
      </c>
      <c r="AS7" t="s">
        <v>232</v>
      </c>
      <c r="AT7" t="s">
        <v>185</v>
      </c>
      <c r="AU7">
        <v>2024</v>
      </c>
      <c r="AV7">
        <v>17</v>
      </c>
      <c r="AW7" t="s">
        <v>74</v>
      </c>
      <c r="AX7" t="s">
        <v>74</v>
      </c>
      <c r="AY7" t="s">
        <v>74</v>
      </c>
      <c r="AZ7" t="s">
        <v>74</v>
      </c>
      <c r="BA7" t="s">
        <v>74</v>
      </c>
      <c r="BB7" t="s">
        <v>74</v>
      </c>
      <c r="BC7" t="s">
        <v>74</v>
      </c>
      <c r="BD7">
        <v>100231</v>
      </c>
      <c r="BE7" t="s">
        <v>233</v>
      </c>
      <c r="BF7" t="str">
        <f>HYPERLINK("http://dx.doi.org/10.1016/j.giant.2023.100231","http://dx.doi.org/10.1016/j.giant.2023.100231")</f>
        <v>http://dx.doi.org/10.1016/j.giant.2023.100231</v>
      </c>
      <c r="BG7" t="s">
        <v>74</v>
      </c>
      <c r="BH7" t="s">
        <v>234</v>
      </c>
      <c r="BI7">
        <v>12</v>
      </c>
      <c r="BJ7" t="s">
        <v>235</v>
      </c>
      <c r="BK7" t="s">
        <v>236</v>
      </c>
      <c r="BL7" t="s">
        <v>237</v>
      </c>
      <c r="BM7" t="s">
        <v>238</v>
      </c>
      <c r="BN7" t="s">
        <v>74</v>
      </c>
      <c r="BO7" t="s">
        <v>191</v>
      </c>
      <c r="BP7" t="s">
        <v>74</v>
      </c>
      <c r="BQ7" t="s">
        <v>74</v>
      </c>
      <c r="BR7" t="s">
        <v>106</v>
      </c>
      <c r="BS7" t="s">
        <v>239</v>
      </c>
      <c r="BT7" t="str">
        <f>HYPERLINK("https%3A%2F%2Fwww.webofscience.com%2Fwos%2Fwoscc%2Ffull-record%2FWOS:001155297400001","View Full Record in Web of Science")</f>
        <v>View Full Record in Web of Science</v>
      </c>
    </row>
    <row r="8" spans="1:72" x14ac:dyDescent="0.15">
      <c r="A8" t="s">
        <v>72</v>
      </c>
      <c r="B8" t="s">
        <v>240</v>
      </c>
      <c r="C8" t="s">
        <v>74</v>
      </c>
      <c r="D8" t="s">
        <v>74</v>
      </c>
      <c r="E8" t="s">
        <v>74</v>
      </c>
      <c r="F8" t="s">
        <v>241</v>
      </c>
      <c r="G8" t="s">
        <v>74</v>
      </c>
      <c r="H8" t="s">
        <v>74</v>
      </c>
      <c r="I8" t="s">
        <v>242</v>
      </c>
      <c r="J8" t="s">
        <v>141</v>
      </c>
      <c r="K8" t="s">
        <v>74</v>
      </c>
      <c r="L8" t="s">
        <v>74</v>
      </c>
      <c r="M8" t="s">
        <v>78</v>
      </c>
      <c r="N8" t="s">
        <v>79</v>
      </c>
      <c r="O8" t="s">
        <v>74</v>
      </c>
      <c r="P8" t="s">
        <v>74</v>
      </c>
      <c r="Q8" t="s">
        <v>74</v>
      </c>
      <c r="R8" t="s">
        <v>74</v>
      </c>
      <c r="S8" t="s">
        <v>74</v>
      </c>
      <c r="T8" t="s">
        <v>74</v>
      </c>
      <c r="U8" t="s">
        <v>243</v>
      </c>
      <c r="V8" t="s">
        <v>244</v>
      </c>
      <c r="W8" t="s">
        <v>245</v>
      </c>
      <c r="X8" t="s">
        <v>246</v>
      </c>
      <c r="Y8" t="s">
        <v>247</v>
      </c>
      <c r="Z8" t="s">
        <v>248</v>
      </c>
      <c r="AA8" t="s">
        <v>249</v>
      </c>
      <c r="AB8" t="s">
        <v>250</v>
      </c>
      <c r="AC8" t="s">
        <v>251</v>
      </c>
      <c r="AD8" t="s">
        <v>252</v>
      </c>
      <c r="AE8" t="s">
        <v>253</v>
      </c>
      <c r="AF8" t="s">
        <v>74</v>
      </c>
      <c r="AG8">
        <v>60</v>
      </c>
      <c r="AH8">
        <v>1</v>
      </c>
      <c r="AI8">
        <v>1</v>
      </c>
      <c r="AJ8">
        <v>9</v>
      </c>
      <c r="AK8">
        <v>12</v>
      </c>
      <c r="AL8" t="s">
        <v>152</v>
      </c>
      <c r="AM8" t="s">
        <v>153</v>
      </c>
      <c r="AN8" t="s">
        <v>154</v>
      </c>
      <c r="AO8" t="s">
        <v>155</v>
      </c>
      <c r="AP8" t="s">
        <v>156</v>
      </c>
      <c r="AQ8" t="s">
        <v>74</v>
      </c>
      <c r="AR8" t="s">
        <v>141</v>
      </c>
      <c r="AS8" t="s">
        <v>157</v>
      </c>
      <c r="AT8" t="s">
        <v>254</v>
      </c>
      <c r="AU8">
        <v>2025</v>
      </c>
      <c r="AV8">
        <v>58</v>
      </c>
      <c r="AW8">
        <v>18</v>
      </c>
      <c r="AX8" t="s">
        <v>74</v>
      </c>
      <c r="AY8" t="s">
        <v>74</v>
      </c>
      <c r="AZ8" t="s">
        <v>74</v>
      </c>
      <c r="BA8" t="s">
        <v>74</v>
      </c>
      <c r="BB8">
        <v>10073</v>
      </c>
      <c r="BC8">
        <v>10083</v>
      </c>
      <c r="BD8" t="s">
        <v>74</v>
      </c>
      <c r="BE8" t="s">
        <v>255</v>
      </c>
      <c r="BF8" t="str">
        <f>HYPERLINK("http://dx.doi.org/10.1021/acs.macromol.5c01830","http://dx.doi.org/10.1021/acs.macromol.5c01830")</f>
        <v>http://dx.doi.org/10.1021/acs.macromol.5c01830</v>
      </c>
      <c r="BG8" t="s">
        <v>74</v>
      </c>
      <c r="BH8" t="s">
        <v>256</v>
      </c>
      <c r="BI8">
        <v>11</v>
      </c>
      <c r="BJ8" t="s">
        <v>102</v>
      </c>
      <c r="BK8" t="s">
        <v>103</v>
      </c>
      <c r="BL8" t="s">
        <v>102</v>
      </c>
      <c r="BM8" t="s">
        <v>257</v>
      </c>
      <c r="BN8" t="s">
        <v>74</v>
      </c>
      <c r="BO8" t="s">
        <v>74</v>
      </c>
      <c r="BP8" t="s">
        <v>74</v>
      </c>
      <c r="BQ8" t="s">
        <v>74</v>
      </c>
      <c r="BR8" t="s">
        <v>106</v>
      </c>
      <c r="BS8" t="s">
        <v>258</v>
      </c>
      <c r="BT8" t="str">
        <f>HYPERLINK("https%3A%2F%2Fwww.webofscience.com%2Fwos%2Fwoscc%2Ffull-record%2FWOS:001571605100001","View Full Record in Web of Science")</f>
        <v>View Full Record in Web of Science</v>
      </c>
    </row>
    <row r="9" spans="1:72" x14ac:dyDescent="0.15">
      <c r="A9" t="s">
        <v>72</v>
      </c>
      <c r="B9" t="s">
        <v>259</v>
      </c>
      <c r="C9" t="s">
        <v>74</v>
      </c>
      <c r="D9" t="s">
        <v>74</v>
      </c>
      <c r="E9" t="s">
        <v>74</v>
      </c>
      <c r="F9" t="s">
        <v>260</v>
      </c>
      <c r="G9" t="s">
        <v>74</v>
      </c>
      <c r="H9" t="s">
        <v>74</v>
      </c>
      <c r="I9" t="s">
        <v>261</v>
      </c>
      <c r="J9" t="s">
        <v>141</v>
      </c>
      <c r="K9" t="s">
        <v>74</v>
      </c>
      <c r="L9" t="s">
        <v>74</v>
      </c>
      <c r="M9" t="s">
        <v>78</v>
      </c>
      <c r="N9" t="s">
        <v>79</v>
      </c>
      <c r="O9" t="s">
        <v>74</v>
      </c>
      <c r="P9" t="s">
        <v>74</v>
      </c>
      <c r="Q9" t="s">
        <v>74</v>
      </c>
      <c r="R9" t="s">
        <v>74</v>
      </c>
      <c r="S9" t="s">
        <v>74</v>
      </c>
      <c r="T9" t="s">
        <v>74</v>
      </c>
      <c r="U9" t="s">
        <v>262</v>
      </c>
      <c r="V9" t="s">
        <v>263</v>
      </c>
      <c r="W9" t="s">
        <v>264</v>
      </c>
      <c r="X9" t="s">
        <v>246</v>
      </c>
      <c r="Y9" t="s">
        <v>265</v>
      </c>
      <c r="Z9" t="s">
        <v>266</v>
      </c>
      <c r="AA9" t="s">
        <v>267</v>
      </c>
      <c r="AB9" t="s">
        <v>268</v>
      </c>
      <c r="AC9" t="s">
        <v>269</v>
      </c>
      <c r="AD9" t="s">
        <v>270</v>
      </c>
      <c r="AE9" t="s">
        <v>271</v>
      </c>
      <c r="AF9" t="s">
        <v>74</v>
      </c>
      <c r="AG9">
        <v>44</v>
      </c>
      <c r="AH9">
        <v>1</v>
      </c>
      <c r="AI9">
        <v>2</v>
      </c>
      <c r="AJ9">
        <v>3</v>
      </c>
      <c r="AK9">
        <v>11</v>
      </c>
      <c r="AL9" t="s">
        <v>152</v>
      </c>
      <c r="AM9" t="s">
        <v>153</v>
      </c>
      <c r="AN9" t="s">
        <v>154</v>
      </c>
      <c r="AO9" t="s">
        <v>155</v>
      </c>
      <c r="AP9" t="s">
        <v>156</v>
      </c>
      <c r="AQ9" t="s">
        <v>74</v>
      </c>
      <c r="AR9" t="s">
        <v>141</v>
      </c>
      <c r="AS9" t="s">
        <v>157</v>
      </c>
      <c r="AT9" t="s">
        <v>272</v>
      </c>
      <c r="AU9">
        <v>2025</v>
      </c>
      <c r="AV9">
        <v>58</v>
      </c>
      <c r="AW9">
        <v>5</v>
      </c>
      <c r="AX9" t="s">
        <v>74</v>
      </c>
      <c r="AY9" t="s">
        <v>74</v>
      </c>
      <c r="AZ9" t="s">
        <v>74</v>
      </c>
      <c r="BA9" t="s">
        <v>74</v>
      </c>
      <c r="BB9">
        <v>2675</v>
      </c>
      <c r="BC9">
        <v>2682</v>
      </c>
      <c r="BD9" t="s">
        <v>74</v>
      </c>
      <c r="BE9" t="s">
        <v>273</v>
      </c>
      <c r="BF9" t="str">
        <f>HYPERLINK("http://dx.doi.org/10.1021/acs.macromol.4c02575","http://dx.doi.org/10.1021/acs.macromol.4c02575")</f>
        <v>http://dx.doi.org/10.1021/acs.macromol.4c02575</v>
      </c>
      <c r="BG9" t="s">
        <v>74</v>
      </c>
      <c r="BH9" t="s">
        <v>274</v>
      </c>
      <c r="BI9">
        <v>8</v>
      </c>
      <c r="BJ9" t="s">
        <v>102</v>
      </c>
      <c r="BK9" t="s">
        <v>103</v>
      </c>
      <c r="BL9" t="s">
        <v>102</v>
      </c>
      <c r="BM9" t="s">
        <v>275</v>
      </c>
      <c r="BN9" t="s">
        <v>74</v>
      </c>
      <c r="BO9" t="s">
        <v>74</v>
      </c>
      <c r="BP9" t="s">
        <v>74</v>
      </c>
      <c r="BQ9" t="s">
        <v>74</v>
      </c>
      <c r="BR9" t="s">
        <v>106</v>
      </c>
      <c r="BS9" t="s">
        <v>276</v>
      </c>
      <c r="BT9" t="str">
        <f>HYPERLINK("https%3A%2F%2Fwww.webofscience.com%2Fwos%2Fwoscc%2Ffull-record%2FWOS:001432835700001","View Full Record in Web of Science")</f>
        <v>View Full Record in Web of Science</v>
      </c>
    </row>
    <row r="10" spans="1:72" x14ac:dyDescent="0.15">
      <c r="A10" t="s">
        <v>72</v>
      </c>
      <c r="B10" t="s">
        <v>277</v>
      </c>
      <c r="C10" t="s">
        <v>74</v>
      </c>
      <c r="D10" t="s">
        <v>74</v>
      </c>
      <c r="E10" t="s">
        <v>74</v>
      </c>
      <c r="F10" t="s">
        <v>278</v>
      </c>
      <c r="G10" t="s">
        <v>74</v>
      </c>
      <c r="H10" t="s">
        <v>74</v>
      </c>
      <c r="I10" t="s">
        <v>279</v>
      </c>
      <c r="J10" t="s">
        <v>280</v>
      </c>
      <c r="K10" t="s">
        <v>74</v>
      </c>
      <c r="L10" t="s">
        <v>74</v>
      </c>
      <c r="M10" t="s">
        <v>78</v>
      </c>
      <c r="N10" t="s">
        <v>79</v>
      </c>
      <c r="O10" t="s">
        <v>74</v>
      </c>
      <c r="P10" t="s">
        <v>74</v>
      </c>
      <c r="Q10" t="s">
        <v>74</v>
      </c>
      <c r="R10" t="s">
        <v>74</v>
      </c>
      <c r="S10" t="s">
        <v>74</v>
      </c>
      <c r="T10" t="s">
        <v>74</v>
      </c>
      <c r="U10" t="s">
        <v>281</v>
      </c>
      <c r="V10" t="s">
        <v>282</v>
      </c>
      <c r="W10" t="s">
        <v>283</v>
      </c>
      <c r="X10" t="s">
        <v>284</v>
      </c>
      <c r="Y10" t="s">
        <v>285</v>
      </c>
      <c r="Z10" t="s">
        <v>286</v>
      </c>
      <c r="AA10" t="s">
        <v>287</v>
      </c>
      <c r="AB10" t="s">
        <v>288</v>
      </c>
      <c r="AC10" t="s">
        <v>289</v>
      </c>
      <c r="AD10" t="s">
        <v>290</v>
      </c>
      <c r="AE10" t="s">
        <v>291</v>
      </c>
      <c r="AF10" t="s">
        <v>74</v>
      </c>
      <c r="AG10">
        <v>48</v>
      </c>
      <c r="AH10">
        <v>0</v>
      </c>
      <c r="AI10">
        <v>0</v>
      </c>
      <c r="AJ10">
        <v>9</v>
      </c>
      <c r="AK10">
        <v>9</v>
      </c>
      <c r="AL10" t="s">
        <v>292</v>
      </c>
      <c r="AM10" t="s">
        <v>293</v>
      </c>
      <c r="AN10" t="s">
        <v>294</v>
      </c>
      <c r="AO10" t="s">
        <v>74</v>
      </c>
      <c r="AP10" t="s">
        <v>295</v>
      </c>
      <c r="AQ10" t="s">
        <v>74</v>
      </c>
      <c r="AR10" t="s">
        <v>296</v>
      </c>
      <c r="AS10" t="s">
        <v>297</v>
      </c>
      <c r="AT10" t="s">
        <v>298</v>
      </c>
      <c r="AU10">
        <v>2026</v>
      </c>
      <c r="AV10">
        <v>17</v>
      </c>
      <c r="AW10">
        <v>1</v>
      </c>
      <c r="AX10" t="s">
        <v>74</v>
      </c>
      <c r="AY10" t="s">
        <v>74</v>
      </c>
      <c r="AZ10" t="s">
        <v>74</v>
      </c>
      <c r="BA10" t="s">
        <v>74</v>
      </c>
      <c r="BB10" t="s">
        <v>74</v>
      </c>
      <c r="BC10" t="s">
        <v>74</v>
      </c>
      <c r="BD10">
        <v>2250</v>
      </c>
      <c r="BE10" t="s">
        <v>299</v>
      </c>
      <c r="BF10" t="str">
        <f>HYPERLINK("http://dx.doi.org/10.1038/s41467-026-68793-7","http://dx.doi.org/10.1038/s41467-026-68793-7")</f>
        <v>http://dx.doi.org/10.1038/s41467-026-68793-7</v>
      </c>
      <c r="BG10" t="s">
        <v>74</v>
      </c>
      <c r="BH10" t="s">
        <v>74</v>
      </c>
      <c r="BI10">
        <v>13</v>
      </c>
      <c r="BJ10" t="s">
        <v>300</v>
      </c>
      <c r="BK10" t="s">
        <v>103</v>
      </c>
      <c r="BL10" t="s">
        <v>301</v>
      </c>
      <c r="BM10" t="s">
        <v>302</v>
      </c>
      <c r="BN10">
        <v>41629306</v>
      </c>
      <c r="BO10" t="s">
        <v>191</v>
      </c>
      <c r="BP10" t="s">
        <v>74</v>
      </c>
      <c r="BQ10" t="s">
        <v>74</v>
      </c>
      <c r="BR10" t="s">
        <v>106</v>
      </c>
      <c r="BS10" t="s">
        <v>303</v>
      </c>
      <c r="BT10" t="str">
        <f>HYPERLINK("https%3A%2F%2Fwww.webofscience.com%2Fwos%2Fwoscc%2Ffull-record%2FWOS:001714836900008","View Full Record in Web of Science")</f>
        <v>View Full Record in Web of Science</v>
      </c>
    </row>
    <row r="11" spans="1:72" x14ac:dyDescent="0.15">
      <c r="A11" t="s">
        <v>72</v>
      </c>
      <c r="B11" t="s">
        <v>304</v>
      </c>
      <c r="C11" t="s">
        <v>74</v>
      </c>
      <c r="D11" t="s">
        <v>74</v>
      </c>
      <c r="E11" t="s">
        <v>74</v>
      </c>
      <c r="F11" t="s">
        <v>305</v>
      </c>
      <c r="G11" t="s">
        <v>74</v>
      </c>
      <c r="H11" t="s">
        <v>74</v>
      </c>
      <c r="I11" t="s">
        <v>306</v>
      </c>
      <c r="J11" t="s">
        <v>141</v>
      </c>
      <c r="K11" t="s">
        <v>74</v>
      </c>
      <c r="L11" t="s">
        <v>74</v>
      </c>
      <c r="M11" t="s">
        <v>78</v>
      </c>
      <c r="N11" t="s">
        <v>79</v>
      </c>
      <c r="O11" t="s">
        <v>74</v>
      </c>
      <c r="P11" t="s">
        <v>74</v>
      </c>
      <c r="Q11" t="s">
        <v>74</v>
      </c>
      <c r="R11" t="s">
        <v>74</v>
      </c>
      <c r="S11" t="s">
        <v>74</v>
      </c>
      <c r="T11" t="s">
        <v>74</v>
      </c>
      <c r="U11" t="s">
        <v>307</v>
      </c>
      <c r="V11" t="s">
        <v>308</v>
      </c>
      <c r="W11" t="s">
        <v>309</v>
      </c>
      <c r="X11" t="s">
        <v>310</v>
      </c>
      <c r="Y11" t="s">
        <v>311</v>
      </c>
      <c r="Z11" t="s">
        <v>86</v>
      </c>
      <c r="AA11" t="s">
        <v>312</v>
      </c>
      <c r="AB11" t="s">
        <v>313</v>
      </c>
      <c r="AC11" t="s">
        <v>314</v>
      </c>
      <c r="AD11" t="s">
        <v>315</v>
      </c>
      <c r="AE11" t="s">
        <v>316</v>
      </c>
      <c r="AF11" t="s">
        <v>74</v>
      </c>
      <c r="AG11">
        <v>59</v>
      </c>
      <c r="AH11">
        <v>5</v>
      </c>
      <c r="AI11">
        <v>9</v>
      </c>
      <c r="AJ11">
        <v>2</v>
      </c>
      <c r="AK11">
        <v>16</v>
      </c>
      <c r="AL11" t="s">
        <v>152</v>
      </c>
      <c r="AM11" t="s">
        <v>153</v>
      </c>
      <c r="AN11" t="s">
        <v>154</v>
      </c>
      <c r="AO11" t="s">
        <v>155</v>
      </c>
      <c r="AP11" t="s">
        <v>156</v>
      </c>
      <c r="AQ11" t="s">
        <v>74</v>
      </c>
      <c r="AR11" t="s">
        <v>141</v>
      </c>
      <c r="AS11" t="s">
        <v>157</v>
      </c>
      <c r="AT11" t="s">
        <v>317</v>
      </c>
      <c r="AU11">
        <v>2024</v>
      </c>
      <c r="AV11">
        <v>57</v>
      </c>
      <c r="AW11">
        <v>12</v>
      </c>
      <c r="AX11" t="s">
        <v>74</v>
      </c>
      <c r="AY11" t="s">
        <v>74</v>
      </c>
      <c r="AZ11" t="s">
        <v>74</v>
      </c>
      <c r="BA11" t="s">
        <v>74</v>
      </c>
      <c r="BB11">
        <v>5860</v>
      </c>
      <c r="BC11">
        <v>5869</v>
      </c>
      <c r="BD11" t="s">
        <v>74</v>
      </c>
      <c r="BE11" t="s">
        <v>318</v>
      </c>
      <c r="BF11" t="str">
        <f>HYPERLINK("http://dx.doi.org/10.1021/acs.macromol.4c00771","http://dx.doi.org/10.1021/acs.macromol.4c00771")</f>
        <v>http://dx.doi.org/10.1021/acs.macromol.4c00771</v>
      </c>
      <c r="BG11" t="s">
        <v>74</v>
      </c>
      <c r="BH11" t="s">
        <v>319</v>
      </c>
      <c r="BI11">
        <v>10</v>
      </c>
      <c r="BJ11" t="s">
        <v>102</v>
      </c>
      <c r="BK11" t="s">
        <v>103</v>
      </c>
      <c r="BL11" t="s">
        <v>102</v>
      </c>
      <c r="BM11" t="s">
        <v>320</v>
      </c>
      <c r="BN11" t="s">
        <v>74</v>
      </c>
      <c r="BO11" t="s">
        <v>105</v>
      </c>
      <c r="BP11" t="s">
        <v>74</v>
      </c>
      <c r="BQ11" t="s">
        <v>74</v>
      </c>
      <c r="BR11" t="s">
        <v>106</v>
      </c>
      <c r="BS11" t="s">
        <v>321</v>
      </c>
      <c r="BT11" t="str">
        <f>HYPERLINK("https%3A%2F%2Fwww.webofscience.com%2Fwos%2Fwoscc%2Ffull-record%2FWOS:001239418900001","View Full Record in Web of Science")</f>
        <v>View Full Record in Web of Science</v>
      </c>
    </row>
    <row r="12" spans="1:72" x14ac:dyDescent="0.15">
      <c r="A12" t="s">
        <v>72</v>
      </c>
      <c r="B12" t="s">
        <v>322</v>
      </c>
      <c r="C12" t="s">
        <v>74</v>
      </c>
      <c r="D12" t="s">
        <v>74</v>
      </c>
      <c r="E12" t="s">
        <v>74</v>
      </c>
      <c r="F12" t="s">
        <v>323</v>
      </c>
      <c r="G12" t="s">
        <v>74</v>
      </c>
      <c r="H12" t="s">
        <v>74</v>
      </c>
      <c r="I12" t="s">
        <v>324</v>
      </c>
      <c r="J12" t="s">
        <v>325</v>
      </c>
      <c r="K12" t="s">
        <v>74</v>
      </c>
      <c r="L12" t="s">
        <v>74</v>
      </c>
      <c r="M12" t="s">
        <v>78</v>
      </c>
      <c r="N12" t="s">
        <v>79</v>
      </c>
      <c r="O12" t="s">
        <v>74</v>
      </c>
      <c r="P12" t="s">
        <v>74</v>
      </c>
      <c r="Q12" t="s">
        <v>74</v>
      </c>
      <c r="R12" t="s">
        <v>74</v>
      </c>
      <c r="S12" t="s">
        <v>74</v>
      </c>
      <c r="T12" t="s">
        <v>326</v>
      </c>
      <c r="U12" t="s">
        <v>327</v>
      </c>
      <c r="V12" t="s">
        <v>328</v>
      </c>
      <c r="W12" t="s">
        <v>329</v>
      </c>
      <c r="X12" t="s">
        <v>330</v>
      </c>
      <c r="Y12" t="s">
        <v>331</v>
      </c>
      <c r="Z12" t="s">
        <v>332</v>
      </c>
      <c r="AA12" t="s">
        <v>74</v>
      </c>
      <c r="AB12" t="s">
        <v>333</v>
      </c>
      <c r="AC12" t="s">
        <v>334</v>
      </c>
      <c r="AD12" t="s">
        <v>335</v>
      </c>
      <c r="AE12" t="s">
        <v>336</v>
      </c>
      <c r="AF12" t="s">
        <v>74</v>
      </c>
      <c r="AG12">
        <v>39</v>
      </c>
      <c r="AH12">
        <v>1</v>
      </c>
      <c r="AI12">
        <v>1</v>
      </c>
      <c r="AJ12">
        <v>2</v>
      </c>
      <c r="AK12">
        <v>8</v>
      </c>
      <c r="AL12" t="s">
        <v>92</v>
      </c>
      <c r="AM12" t="s">
        <v>93</v>
      </c>
      <c r="AN12" t="s">
        <v>94</v>
      </c>
      <c r="AO12" t="s">
        <v>337</v>
      </c>
      <c r="AP12" t="s">
        <v>338</v>
      </c>
      <c r="AQ12" t="s">
        <v>74</v>
      </c>
      <c r="AR12" t="s">
        <v>325</v>
      </c>
      <c r="AS12" t="s">
        <v>339</v>
      </c>
      <c r="AT12" t="s">
        <v>340</v>
      </c>
      <c r="AU12">
        <v>2025</v>
      </c>
      <c r="AV12">
        <v>336</v>
      </c>
      <c r="AW12" t="s">
        <v>74</v>
      </c>
      <c r="AX12" t="s">
        <v>74</v>
      </c>
      <c r="AY12" t="s">
        <v>74</v>
      </c>
      <c r="AZ12" t="s">
        <v>74</v>
      </c>
      <c r="BA12" t="s">
        <v>74</v>
      </c>
      <c r="BB12" t="s">
        <v>74</v>
      </c>
      <c r="BC12" t="s">
        <v>74</v>
      </c>
      <c r="BD12">
        <v>128860</v>
      </c>
      <c r="BE12" t="s">
        <v>341</v>
      </c>
      <c r="BF12" t="str">
        <f>HYPERLINK("http://dx.doi.org/10.1016/j.polymer.2025.128860","http://dx.doi.org/10.1016/j.polymer.2025.128860")</f>
        <v>http://dx.doi.org/10.1016/j.polymer.2025.128860</v>
      </c>
      <c r="BG12" t="s">
        <v>74</v>
      </c>
      <c r="BH12" t="s">
        <v>342</v>
      </c>
      <c r="BI12">
        <v>6</v>
      </c>
      <c r="BJ12" t="s">
        <v>102</v>
      </c>
      <c r="BK12" t="s">
        <v>103</v>
      </c>
      <c r="BL12" t="s">
        <v>102</v>
      </c>
      <c r="BM12" t="s">
        <v>343</v>
      </c>
      <c r="BN12" t="s">
        <v>74</v>
      </c>
      <c r="BO12" t="s">
        <v>344</v>
      </c>
      <c r="BP12" t="s">
        <v>74</v>
      </c>
      <c r="BQ12" t="s">
        <v>74</v>
      </c>
      <c r="BR12" t="s">
        <v>106</v>
      </c>
      <c r="BS12" t="s">
        <v>345</v>
      </c>
      <c r="BT12" t="str">
        <f>HYPERLINK("https%3A%2F%2Fwww.webofscience.com%2Fwos%2Fwoscc%2Ffull-record%2FWOS:001543740000001","View Full Record in Web of Science")</f>
        <v>View Full Record in Web of Science</v>
      </c>
    </row>
    <row r="13" spans="1:72" x14ac:dyDescent="0.15">
      <c r="A13" t="s">
        <v>72</v>
      </c>
      <c r="B13" t="s">
        <v>346</v>
      </c>
      <c r="C13" t="s">
        <v>74</v>
      </c>
      <c r="D13" t="s">
        <v>74</v>
      </c>
      <c r="E13" t="s">
        <v>74</v>
      </c>
      <c r="F13" t="s">
        <v>347</v>
      </c>
      <c r="G13" t="s">
        <v>74</v>
      </c>
      <c r="H13" t="s">
        <v>74</v>
      </c>
      <c r="I13" t="s">
        <v>348</v>
      </c>
      <c r="J13" t="s">
        <v>349</v>
      </c>
      <c r="K13" t="s">
        <v>74</v>
      </c>
      <c r="L13" t="s">
        <v>74</v>
      </c>
      <c r="M13" t="s">
        <v>78</v>
      </c>
      <c r="N13" t="s">
        <v>79</v>
      </c>
      <c r="O13" t="s">
        <v>74</v>
      </c>
      <c r="P13" t="s">
        <v>74</v>
      </c>
      <c r="Q13" t="s">
        <v>74</v>
      </c>
      <c r="R13" t="s">
        <v>74</v>
      </c>
      <c r="S13" t="s">
        <v>74</v>
      </c>
      <c r="T13" t="s">
        <v>350</v>
      </c>
      <c r="U13" t="s">
        <v>351</v>
      </c>
      <c r="V13" t="s">
        <v>352</v>
      </c>
      <c r="W13" t="s">
        <v>353</v>
      </c>
      <c r="X13" t="s">
        <v>354</v>
      </c>
      <c r="Y13" t="s">
        <v>355</v>
      </c>
      <c r="Z13" t="s">
        <v>356</v>
      </c>
      <c r="AA13" t="s">
        <v>357</v>
      </c>
      <c r="AB13" t="s">
        <v>358</v>
      </c>
      <c r="AC13" t="s">
        <v>359</v>
      </c>
      <c r="AD13" t="s">
        <v>360</v>
      </c>
      <c r="AE13" t="s">
        <v>361</v>
      </c>
      <c r="AF13" t="s">
        <v>74</v>
      </c>
      <c r="AG13">
        <v>44</v>
      </c>
      <c r="AH13">
        <v>4</v>
      </c>
      <c r="AI13">
        <v>5</v>
      </c>
      <c r="AJ13">
        <v>1</v>
      </c>
      <c r="AK13">
        <v>3</v>
      </c>
      <c r="AL13" t="s">
        <v>152</v>
      </c>
      <c r="AM13" t="s">
        <v>153</v>
      </c>
      <c r="AN13" t="s">
        <v>154</v>
      </c>
      <c r="AO13" t="s">
        <v>362</v>
      </c>
      <c r="AP13" t="s">
        <v>74</v>
      </c>
      <c r="AQ13" t="s">
        <v>74</v>
      </c>
      <c r="AR13" t="s">
        <v>363</v>
      </c>
      <c r="AS13" t="s">
        <v>364</v>
      </c>
      <c r="AT13" t="s">
        <v>365</v>
      </c>
      <c r="AU13">
        <v>2024</v>
      </c>
      <c r="AV13">
        <v>2</v>
      </c>
      <c r="AW13">
        <v>3</v>
      </c>
      <c r="AX13" t="s">
        <v>74</v>
      </c>
      <c r="AY13" t="s">
        <v>74</v>
      </c>
      <c r="AZ13" t="s">
        <v>74</v>
      </c>
      <c r="BA13" t="s">
        <v>74</v>
      </c>
      <c r="BB13">
        <v>574</v>
      </c>
      <c r="BC13">
        <v>581</v>
      </c>
      <c r="BD13" t="s">
        <v>74</v>
      </c>
      <c r="BE13" t="s">
        <v>366</v>
      </c>
      <c r="BF13" t="str">
        <f>HYPERLINK("http://dx.doi.org/10.1021/acsaenm.3c00568","http://dx.doi.org/10.1021/acsaenm.3c00568")</f>
        <v>http://dx.doi.org/10.1021/acsaenm.3c00568</v>
      </c>
      <c r="BG13" t="s">
        <v>74</v>
      </c>
      <c r="BH13" t="s">
        <v>367</v>
      </c>
      <c r="BI13">
        <v>8</v>
      </c>
      <c r="BJ13" t="s">
        <v>368</v>
      </c>
      <c r="BK13" t="s">
        <v>236</v>
      </c>
      <c r="BL13" t="s">
        <v>369</v>
      </c>
      <c r="BM13" t="s">
        <v>370</v>
      </c>
      <c r="BN13" t="s">
        <v>74</v>
      </c>
      <c r="BO13" t="s">
        <v>74</v>
      </c>
      <c r="BP13" t="s">
        <v>74</v>
      </c>
      <c r="BQ13" t="s">
        <v>74</v>
      </c>
      <c r="BR13" t="s">
        <v>106</v>
      </c>
      <c r="BS13" t="s">
        <v>371</v>
      </c>
      <c r="BT13" t="str">
        <f>HYPERLINK("https%3A%2F%2Fwww.webofscience.com%2Fwos%2Fwoscc%2Ffull-record%2FWOS:001289335500001","View Full Record in Web of Science")</f>
        <v>View Full Record in Web of Science</v>
      </c>
    </row>
    <row r="14" spans="1:72" x14ac:dyDescent="0.15">
      <c r="A14" t="s">
        <v>72</v>
      </c>
      <c r="B14" t="s">
        <v>372</v>
      </c>
      <c r="C14" t="s">
        <v>74</v>
      </c>
      <c r="D14" t="s">
        <v>74</v>
      </c>
      <c r="E14" t="s">
        <v>74</v>
      </c>
      <c r="F14" t="s">
        <v>373</v>
      </c>
      <c r="G14" t="s">
        <v>74</v>
      </c>
      <c r="H14" t="s">
        <v>74</v>
      </c>
      <c r="I14" t="s">
        <v>374</v>
      </c>
      <c r="J14" t="s">
        <v>375</v>
      </c>
      <c r="K14" t="s">
        <v>74</v>
      </c>
      <c r="L14" t="s">
        <v>74</v>
      </c>
      <c r="M14" t="s">
        <v>78</v>
      </c>
      <c r="N14" t="s">
        <v>79</v>
      </c>
      <c r="O14" t="s">
        <v>74</v>
      </c>
      <c r="P14" t="s">
        <v>74</v>
      </c>
      <c r="Q14" t="s">
        <v>74</v>
      </c>
      <c r="R14" t="s">
        <v>74</v>
      </c>
      <c r="S14" t="s">
        <v>74</v>
      </c>
      <c r="T14" t="s">
        <v>376</v>
      </c>
      <c r="U14" t="s">
        <v>74</v>
      </c>
      <c r="V14" t="s">
        <v>377</v>
      </c>
      <c r="W14" t="s">
        <v>378</v>
      </c>
      <c r="X14" t="s">
        <v>354</v>
      </c>
      <c r="Y14" t="s">
        <v>379</v>
      </c>
      <c r="Z14" t="s">
        <v>380</v>
      </c>
      <c r="AA14" t="s">
        <v>381</v>
      </c>
      <c r="AB14" t="s">
        <v>382</v>
      </c>
      <c r="AC14" t="s">
        <v>383</v>
      </c>
      <c r="AD14" t="s">
        <v>384</v>
      </c>
      <c r="AE14" t="s">
        <v>385</v>
      </c>
      <c r="AF14" t="s">
        <v>74</v>
      </c>
      <c r="AG14">
        <v>23</v>
      </c>
      <c r="AH14">
        <v>2</v>
      </c>
      <c r="AI14">
        <v>2</v>
      </c>
      <c r="AJ14">
        <v>12</v>
      </c>
      <c r="AK14">
        <v>27</v>
      </c>
      <c r="AL14" t="s">
        <v>386</v>
      </c>
      <c r="AM14" t="s">
        <v>387</v>
      </c>
      <c r="AN14" t="s">
        <v>388</v>
      </c>
      <c r="AO14" t="s">
        <v>389</v>
      </c>
      <c r="AP14" t="s">
        <v>390</v>
      </c>
      <c r="AQ14" t="s">
        <v>74</v>
      </c>
      <c r="AR14" t="s">
        <v>391</v>
      </c>
      <c r="AS14" t="s">
        <v>392</v>
      </c>
      <c r="AT14" t="s">
        <v>393</v>
      </c>
      <c r="AU14">
        <v>2025</v>
      </c>
      <c r="AV14">
        <v>46</v>
      </c>
      <c r="AW14">
        <v>9</v>
      </c>
      <c r="AX14" t="s">
        <v>74</v>
      </c>
      <c r="AY14" t="s">
        <v>74</v>
      </c>
      <c r="AZ14" t="s">
        <v>74</v>
      </c>
      <c r="BA14" t="s">
        <v>74</v>
      </c>
      <c r="BB14">
        <v>1545</v>
      </c>
      <c r="BC14">
        <v>1548</v>
      </c>
      <c r="BD14" t="s">
        <v>74</v>
      </c>
      <c r="BE14" t="s">
        <v>394</v>
      </c>
      <c r="BF14" t="str">
        <f>HYPERLINK("http://dx.doi.org/10.1109/LED.2025.3587950","http://dx.doi.org/10.1109/LED.2025.3587950")</f>
        <v>http://dx.doi.org/10.1109/LED.2025.3587950</v>
      </c>
      <c r="BG14" t="s">
        <v>74</v>
      </c>
      <c r="BH14" t="s">
        <v>74</v>
      </c>
      <c r="BI14">
        <v>4</v>
      </c>
      <c r="BJ14" t="s">
        <v>395</v>
      </c>
      <c r="BK14" t="s">
        <v>103</v>
      </c>
      <c r="BL14" t="s">
        <v>396</v>
      </c>
      <c r="BM14" t="s">
        <v>397</v>
      </c>
      <c r="BN14" t="s">
        <v>74</v>
      </c>
      <c r="BO14" t="s">
        <v>105</v>
      </c>
      <c r="BP14" t="s">
        <v>74</v>
      </c>
      <c r="BQ14" t="s">
        <v>74</v>
      </c>
      <c r="BR14" t="s">
        <v>106</v>
      </c>
      <c r="BS14" t="s">
        <v>398</v>
      </c>
      <c r="BT14" t="str">
        <f>HYPERLINK("https%3A%2F%2Fwww.webofscience.com%2Fwos%2Fwoscc%2Ffull-record%2FWOS:001565172600018","View Full Record in Web of Science")</f>
        <v>View Full Record in Web of Science</v>
      </c>
    </row>
    <row r="15" spans="1:72" x14ac:dyDescent="0.15">
      <c r="A15" t="s">
        <v>72</v>
      </c>
      <c r="B15" t="s">
        <v>399</v>
      </c>
      <c r="C15" t="s">
        <v>74</v>
      </c>
      <c r="D15" t="s">
        <v>74</v>
      </c>
      <c r="E15" t="s">
        <v>74</v>
      </c>
      <c r="F15" t="s">
        <v>400</v>
      </c>
      <c r="G15" t="s">
        <v>74</v>
      </c>
      <c r="H15" t="s">
        <v>74</v>
      </c>
      <c r="I15" t="s">
        <v>401</v>
      </c>
      <c r="J15" t="s">
        <v>402</v>
      </c>
      <c r="K15" t="s">
        <v>74</v>
      </c>
      <c r="L15" t="s">
        <v>74</v>
      </c>
      <c r="M15" t="s">
        <v>78</v>
      </c>
      <c r="N15" t="s">
        <v>79</v>
      </c>
      <c r="O15" t="s">
        <v>74</v>
      </c>
      <c r="P15" t="s">
        <v>74</v>
      </c>
      <c r="Q15" t="s">
        <v>74</v>
      </c>
      <c r="R15" t="s">
        <v>74</v>
      </c>
      <c r="S15" t="s">
        <v>74</v>
      </c>
      <c r="T15" t="s">
        <v>403</v>
      </c>
      <c r="U15" t="s">
        <v>404</v>
      </c>
      <c r="V15" t="s">
        <v>405</v>
      </c>
      <c r="W15" t="s">
        <v>406</v>
      </c>
      <c r="X15" t="s">
        <v>407</v>
      </c>
      <c r="Y15" t="s">
        <v>408</v>
      </c>
      <c r="Z15" t="s">
        <v>409</v>
      </c>
      <c r="AA15" t="s">
        <v>410</v>
      </c>
      <c r="AB15" t="s">
        <v>411</v>
      </c>
      <c r="AC15" t="s">
        <v>412</v>
      </c>
      <c r="AD15" t="s">
        <v>413</v>
      </c>
      <c r="AE15" t="s">
        <v>414</v>
      </c>
      <c r="AF15" t="s">
        <v>74</v>
      </c>
      <c r="AG15">
        <v>29</v>
      </c>
      <c r="AH15">
        <v>5</v>
      </c>
      <c r="AI15">
        <v>5</v>
      </c>
      <c r="AJ15">
        <v>0</v>
      </c>
      <c r="AK15">
        <v>6</v>
      </c>
      <c r="AL15" t="s">
        <v>227</v>
      </c>
      <c r="AM15" t="s">
        <v>228</v>
      </c>
      <c r="AN15" t="s">
        <v>229</v>
      </c>
      <c r="AO15" t="s">
        <v>415</v>
      </c>
      <c r="AP15" t="s">
        <v>416</v>
      </c>
      <c r="AQ15" t="s">
        <v>74</v>
      </c>
      <c r="AR15" t="s">
        <v>417</v>
      </c>
      <c r="AS15" t="s">
        <v>418</v>
      </c>
      <c r="AT15" t="s">
        <v>419</v>
      </c>
      <c r="AU15">
        <v>2025</v>
      </c>
      <c r="AV15">
        <v>306</v>
      </c>
      <c r="AW15" t="s">
        <v>74</v>
      </c>
      <c r="AX15">
        <v>1</v>
      </c>
      <c r="AY15" t="s">
        <v>74</v>
      </c>
      <c r="AZ15" t="s">
        <v>74</v>
      </c>
      <c r="BA15" t="s">
        <v>74</v>
      </c>
      <c r="BB15" t="s">
        <v>74</v>
      </c>
      <c r="BC15" t="s">
        <v>74</v>
      </c>
      <c r="BD15">
        <v>141406</v>
      </c>
      <c r="BE15" t="s">
        <v>420</v>
      </c>
      <c r="BF15" t="str">
        <f>HYPERLINK("http://dx.doi.org/10.1016/j.ijbiomac.2025.141406","http://dx.doi.org/10.1016/j.ijbiomac.2025.141406")</f>
        <v>http://dx.doi.org/10.1016/j.ijbiomac.2025.141406</v>
      </c>
      <c r="BG15" t="s">
        <v>74</v>
      </c>
      <c r="BH15" t="s">
        <v>421</v>
      </c>
      <c r="BI15">
        <v>9</v>
      </c>
      <c r="BJ15" t="s">
        <v>422</v>
      </c>
      <c r="BK15" t="s">
        <v>103</v>
      </c>
      <c r="BL15" t="s">
        <v>423</v>
      </c>
      <c r="BM15" t="s">
        <v>424</v>
      </c>
      <c r="BN15">
        <v>39993677</v>
      </c>
      <c r="BO15" t="s">
        <v>344</v>
      </c>
      <c r="BP15" t="s">
        <v>74</v>
      </c>
      <c r="BQ15" t="s">
        <v>74</v>
      </c>
      <c r="BR15" t="s">
        <v>106</v>
      </c>
      <c r="BS15" t="s">
        <v>425</v>
      </c>
      <c r="BT15" t="str">
        <f>HYPERLINK("https%3A%2F%2Fwww.webofscience.com%2Fwos%2Fwoscc%2Ffull-record%2FWOS:001439337400001","View Full Record in Web of Science")</f>
        <v>View Full Record in Web of Science</v>
      </c>
    </row>
    <row r="16" spans="1:72" x14ac:dyDescent="0.15">
      <c r="A16" t="s">
        <v>72</v>
      </c>
      <c r="B16" t="s">
        <v>426</v>
      </c>
      <c r="C16" t="s">
        <v>74</v>
      </c>
      <c r="D16" t="s">
        <v>74</v>
      </c>
      <c r="E16" t="s">
        <v>74</v>
      </c>
      <c r="F16" t="s">
        <v>427</v>
      </c>
      <c r="G16" t="s">
        <v>74</v>
      </c>
      <c r="H16" t="s">
        <v>74</v>
      </c>
      <c r="I16" t="s">
        <v>428</v>
      </c>
      <c r="J16" t="s">
        <v>429</v>
      </c>
      <c r="K16" t="s">
        <v>74</v>
      </c>
      <c r="L16" t="s">
        <v>74</v>
      </c>
      <c r="M16" t="s">
        <v>78</v>
      </c>
      <c r="N16" t="s">
        <v>79</v>
      </c>
      <c r="O16" t="s">
        <v>74</v>
      </c>
      <c r="P16" t="s">
        <v>74</v>
      </c>
      <c r="Q16" t="s">
        <v>74</v>
      </c>
      <c r="R16" t="s">
        <v>74</v>
      </c>
      <c r="S16" t="s">
        <v>74</v>
      </c>
      <c r="T16" t="s">
        <v>430</v>
      </c>
      <c r="U16" t="s">
        <v>431</v>
      </c>
      <c r="V16" t="s">
        <v>432</v>
      </c>
      <c r="W16" t="s">
        <v>433</v>
      </c>
      <c r="X16" t="s">
        <v>354</v>
      </c>
      <c r="Y16" t="s">
        <v>434</v>
      </c>
      <c r="Z16" t="s">
        <v>435</v>
      </c>
      <c r="AA16" t="s">
        <v>74</v>
      </c>
      <c r="AB16" t="s">
        <v>436</v>
      </c>
      <c r="AC16" t="s">
        <v>437</v>
      </c>
      <c r="AD16" t="s">
        <v>438</v>
      </c>
      <c r="AE16" t="s">
        <v>439</v>
      </c>
      <c r="AF16" t="s">
        <v>74</v>
      </c>
      <c r="AG16">
        <v>68</v>
      </c>
      <c r="AH16">
        <v>0</v>
      </c>
      <c r="AI16">
        <v>0</v>
      </c>
      <c r="AJ16">
        <v>2</v>
      </c>
      <c r="AK16">
        <v>8</v>
      </c>
      <c r="AL16" t="s">
        <v>152</v>
      </c>
      <c r="AM16" t="s">
        <v>153</v>
      </c>
      <c r="AN16" t="s">
        <v>154</v>
      </c>
      <c r="AO16" t="s">
        <v>440</v>
      </c>
      <c r="AP16" t="s">
        <v>441</v>
      </c>
      <c r="AQ16" t="s">
        <v>74</v>
      </c>
      <c r="AR16" t="s">
        <v>442</v>
      </c>
      <c r="AS16" t="s">
        <v>443</v>
      </c>
      <c r="AT16" t="s">
        <v>444</v>
      </c>
      <c r="AU16">
        <v>2025</v>
      </c>
      <c r="AV16">
        <v>17</v>
      </c>
      <c r="AW16">
        <v>31</v>
      </c>
      <c r="AX16" t="s">
        <v>74</v>
      </c>
      <c r="AY16" t="s">
        <v>74</v>
      </c>
      <c r="AZ16" t="s">
        <v>74</v>
      </c>
      <c r="BA16" t="s">
        <v>74</v>
      </c>
      <c r="BB16">
        <v>45130</v>
      </c>
      <c r="BC16">
        <v>45138</v>
      </c>
      <c r="BD16" t="s">
        <v>74</v>
      </c>
      <c r="BE16" t="s">
        <v>445</v>
      </c>
      <c r="BF16" t="str">
        <f>HYPERLINK("http://dx.doi.org/10.1021/acsami.5c08301","http://dx.doi.org/10.1021/acsami.5c08301")</f>
        <v>http://dx.doi.org/10.1021/acsami.5c08301</v>
      </c>
      <c r="BG16" t="s">
        <v>74</v>
      </c>
      <c r="BH16" t="s">
        <v>342</v>
      </c>
      <c r="BI16">
        <v>9</v>
      </c>
      <c r="BJ16" t="s">
        <v>446</v>
      </c>
      <c r="BK16" t="s">
        <v>103</v>
      </c>
      <c r="BL16" t="s">
        <v>447</v>
      </c>
      <c r="BM16" t="s">
        <v>448</v>
      </c>
      <c r="BN16">
        <v>40728161</v>
      </c>
      <c r="BO16" t="s">
        <v>74</v>
      </c>
      <c r="BP16" t="s">
        <v>74</v>
      </c>
      <c r="BQ16" t="s">
        <v>74</v>
      </c>
      <c r="BR16" t="s">
        <v>106</v>
      </c>
      <c r="BS16" t="s">
        <v>449</v>
      </c>
      <c r="BT16" t="str">
        <f>HYPERLINK("https%3A%2F%2Fwww.webofscience.com%2Fwos%2Fwoscc%2Ffull-record%2FWOS:001539126600001","View Full Record in Web of Science")</f>
        <v>View Full Record in Web of Science</v>
      </c>
    </row>
    <row r="17" spans="1:72" x14ac:dyDescent="0.15">
      <c r="A17" t="s">
        <v>72</v>
      </c>
      <c r="B17" t="s">
        <v>450</v>
      </c>
      <c r="C17" t="s">
        <v>74</v>
      </c>
      <c r="D17" t="s">
        <v>74</v>
      </c>
      <c r="E17" t="s">
        <v>74</v>
      </c>
      <c r="F17" t="s">
        <v>451</v>
      </c>
      <c r="G17" t="s">
        <v>74</v>
      </c>
      <c r="H17" t="s">
        <v>74</v>
      </c>
      <c r="I17" t="s">
        <v>452</v>
      </c>
      <c r="J17" t="s">
        <v>453</v>
      </c>
      <c r="K17" t="s">
        <v>74</v>
      </c>
      <c r="L17" t="s">
        <v>74</v>
      </c>
      <c r="M17" t="s">
        <v>78</v>
      </c>
      <c r="N17" t="s">
        <v>79</v>
      </c>
      <c r="O17" t="s">
        <v>74</v>
      </c>
      <c r="P17" t="s">
        <v>74</v>
      </c>
      <c r="Q17" t="s">
        <v>74</v>
      </c>
      <c r="R17" t="s">
        <v>74</v>
      </c>
      <c r="S17" t="s">
        <v>74</v>
      </c>
      <c r="T17" t="s">
        <v>454</v>
      </c>
      <c r="U17" t="s">
        <v>455</v>
      </c>
      <c r="V17" t="s">
        <v>456</v>
      </c>
      <c r="W17" t="s">
        <v>457</v>
      </c>
      <c r="X17" t="s">
        <v>145</v>
      </c>
      <c r="Y17" t="s">
        <v>458</v>
      </c>
      <c r="Z17" t="s">
        <v>459</v>
      </c>
      <c r="AA17" t="s">
        <v>460</v>
      </c>
      <c r="AB17" t="s">
        <v>461</v>
      </c>
      <c r="AC17" t="s">
        <v>462</v>
      </c>
      <c r="AD17" t="s">
        <v>463</v>
      </c>
      <c r="AE17" t="s">
        <v>464</v>
      </c>
      <c r="AF17" t="s">
        <v>74</v>
      </c>
      <c r="AG17">
        <v>78</v>
      </c>
      <c r="AH17">
        <v>3</v>
      </c>
      <c r="AI17">
        <v>3</v>
      </c>
      <c r="AJ17">
        <v>1</v>
      </c>
      <c r="AK17">
        <v>11</v>
      </c>
      <c r="AL17" t="s">
        <v>465</v>
      </c>
      <c r="AM17" t="s">
        <v>153</v>
      </c>
      <c r="AN17" t="s">
        <v>466</v>
      </c>
      <c r="AO17" t="s">
        <v>467</v>
      </c>
      <c r="AP17" t="s">
        <v>468</v>
      </c>
      <c r="AQ17" t="s">
        <v>74</v>
      </c>
      <c r="AR17" t="s">
        <v>469</v>
      </c>
      <c r="AS17" t="s">
        <v>470</v>
      </c>
      <c r="AT17" t="s">
        <v>471</v>
      </c>
      <c r="AU17">
        <v>2024</v>
      </c>
      <c r="AV17">
        <v>121</v>
      </c>
      <c r="AW17">
        <v>39</v>
      </c>
      <c r="AX17" t="s">
        <v>74</v>
      </c>
      <c r="AY17" t="s">
        <v>74</v>
      </c>
      <c r="AZ17" t="s">
        <v>74</v>
      </c>
      <c r="BA17" t="s">
        <v>74</v>
      </c>
      <c r="BB17" t="s">
        <v>74</v>
      </c>
      <c r="BC17" t="s">
        <v>74</v>
      </c>
      <c r="BD17" t="s">
        <v>472</v>
      </c>
      <c r="BE17" t="s">
        <v>473</v>
      </c>
      <c r="BF17" t="str">
        <f>HYPERLINK("http://dx.doi.org/10.1073/pnas.2407914121","http://dx.doi.org/10.1073/pnas.2407914121")</f>
        <v>http://dx.doi.org/10.1073/pnas.2407914121</v>
      </c>
      <c r="BG17" t="s">
        <v>74</v>
      </c>
      <c r="BH17" t="s">
        <v>74</v>
      </c>
      <c r="BI17">
        <v>6</v>
      </c>
      <c r="BJ17" t="s">
        <v>300</v>
      </c>
      <c r="BK17" t="s">
        <v>103</v>
      </c>
      <c r="BL17" t="s">
        <v>301</v>
      </c>
      <c r="BM17" t="s">
        <v>474</v>
      </c>
      <c r="BN17">
        <v>39269770</v>
      </c>
      <c r="BO17" t="s">
        <v>136</v>
      </c>
      <c r="BP17" t="s">
        <v>74</v>
      </c>
      <c r="BQ17" t="s">
        <v>74</v>
      </c>
      <c r="BR17" t="s">
        <v>106</v>
      </c>
      <c r="BS17" t="s">
        <v>475</v>
      </c>
      <c r="BT17" t="str">
        <f>HYPERLINK("https%3A%2F%2Fwww.webofscience.com%2Fwos%2Fwoscc%2Ffull-record%2FWOS:001369554000010","View Full Record in Web of Science")</f>
        <v>View Full Record in Web of Science</v>
      </c>
    </row>
    <row r="18" spans="1:72" x14ac:dyDescent="0.15">
      <c r="A18" t="s">
        <v>72</v>
      </c>
      <c r="B18" t="s">
        <v>476</v>
      </c>
      <c r="C18" t="s">
        <v>74</v>
      </c>
      <c r="D18" t="s">
        <v>74</v>
      </c>
      <c r="E18" t="s">
        <v>74</v>
      </c>
      <c r="F18" t="s">
        <v>477</v>
      </c>
      <c r="G18" t="s">
        <v>74</v>
      </c>
      <c r="H18" t="s">
        <v>74</v>
      </c>
      <c r="I18" t="s">
        <v>478</v>
      </c>
      <c r="J18" t="s">
        <v>479</v>
      </c>
      <c r="K18" t="s">
        <v>74</v>
      </c>
      <c r="L18" t="s">
        <v>74</v>
      </c>
      <c r="M18" t="s">
        <v>78</v>
      </c>
      <c r="N18" t="s">
        <v>79</v>
      </c>
      <c r="O18" t="s">
        <v>74</v>
      </c>
      <c r="P18" t="s">
        <v>74</v>
      </c>
      <c r="Q18" t="s">
        <v>74</v>
      </c>
      <c r="R18" t="s">
        <v>74</v>
      </c>
      <c r="S18" t="s">
        <v>74</v>
      </c>
      <c r="T18" t="s">
        <v>74</v>
      </c>
      <c r="U18" t="s">
        <v>480</v>
      </c>
      <c r="V18" t="s">
        <v>481</v>
      </c>
      <c r="W18" t="s">
        <v>482</v>
      </c>
      <c r="X18" t="s">
        <v>483</v>
      </c>
      <c r="Y18" t="s">
        <v>484</v>
      </c>
      <c r="Z18" t="s">
        <v>485</v>
      </c>
      <c r="AA18" t="s">
        <v>486</v>
      </c>
      <c r="AB18" t="s">
        <v>487</v>
      </c>
      <c r="AC18" t="s">
        <v>488</v>
      </c>
      <c r="AD18" t="s">
        <v>489</v>
      </c>
      <c r="AE18" t="s">
        <v>490</v>
      </c>
      <c r="AF18" t="s">
        <v>74</v>
      </c>
      <c r="AG18">
        <v>51</v>
      </c>
      <c r="AH18">
        <v>1</v>
      </c>
      <c r="AI18">
        <v>2</v>
      </c>
      <c r="AJ18">
        <v>1</v>
      </c>
      <c r="AK18">
        <v>9</v>
      </c>
      <c r="AL18" t="s">
        <v>491</v>
      </c>
      <c r="AM18" t="s">
        <v>124</v>
      </c>
      <c r="AN18" t="s">
        <v>492</v>
      </c>
      <c r="AO18" t="s">
        <v>493</v>
      </c>
      <c r="AP18" t="s">
        <v>494</v>
      </c>
      <c r="AQ18" t="s">
        <v>74</v>
      </c>
      <c r="AR18" t="s">
        <v>479</v>
      </c>
      <c r="AS18" t="s">
        <v>495</v>
      </c>
      <c r="AT18" t="s">
        <v>496</v>
      </c>
      <c r="AU18">
        <v>2024</v>
      </c>
      <c r="AV18">
        <v>20</v>
      </c>
      <c r="AW18">
        <v>45</v>
      </c>
      <c r="AX18" t="s">
        <v>74</v>
      </c>
      <c r="AY18" t="s">
        <v>74</v>
      </c>
      <c r="AZ18" t="s">
        <v>74</v>
      </c>
      <c r="BA18" t="s">
        <v>74</v>
      </c>
      <c r="BB18">
        <v>9050</v>
      </c>
      <c r="BC18">
        <v>9059</v>
      </c>
      <c r="BD18" t="s">
        <v>74</v>
      </c>
      <c r="BE18" t="s">
        <v>497</v>
      </c>
      <c r="BF18" t="str">
        <f>HYPERLINK("http://dx.doi.org/10.1039/d4sm01076k","http://dx.doi.org/10.1039/d4sm01076k")</f>
        <v>http://dx.doi.org/10.1039/d4sm01076k</v>
      </c>
      <c r="BG18" t="s">
        <v>74</v>
      </c>
      <c r="BH18" t="s">
        <v>498</v>
      </c>
      <c r="BI18">
        <v>10</v>
      </c>
      <c r="BJ18" t="s">
        <v>499</v>
      </c>
      <c r="BK18" t="s">
        <v>103</v>
      </c>
      <c r="BL18" t="s">
        <v>500</v>
      </c>
      <c r="BM18" t="s">
        <v>501</v>
      </c>
      <c r="BN18">
        <v>39499572</v>
      </c>
      <c r="BO18" t="s">
        <v>344</v>
      </c>
      <c r="BP18" t="s">
        <v>74</v>
      </c>
      <c r="BQ18" t="s">
        <v>74</v>
      </c>
      <c r="BR18" t="s">
        <v>106</v>
      </c>
      <c r="BS18" t="s">
        <v>502</v>
      </c>
      <c r="BT18" t="str">
        <f>HYPERLINK("https%3A%2F%2Fwww.webofscience.com%2Fwos%2Fwoscc%2Ffull-record%2FWOS:001347639300001","View Full Record in Web of Science")</f>
        <v>View Full Record in Web of Science</v>
      </c>
    </row>
    <row r="19" spans="1:72" x14ac:dyDescent="0.15">
      <c r="A19" t="s">
        <v>72</v>
      </c>
      <c r="B19" t="s">
        <v>503</v>
      </c>
      <c r="C19" t="s">
        <v>74</v>
      </c>
      <c r="D19" t="s">
        <v>74</v>
      </c>
      <c r="E19" t="s">
        <v>74</v>
      </c>
      <c r="F19" t="s">
        <v>504</v>
      </c>
      <c r="G19" t="s">
        <v>74</v>
      </c>
      <c r="H19" t="s">
        <v>74</v>
      </c>
      <c r="I19" t="s">
        <v>505</v>
      </c>
      <c r="J19" t="s">
        <v>506</v>
      </c>
      <c r="K19" t="s">
        <v>74</v>
      </c>
      <c r="L19" t="s">
        <v>74</v>
      </c>
      <c r="M19" t="s">
        <v>78</v>
      </c>
      <c r="N19" t="s">
        <v>79</v>
      </c>
      <c r="O19" t="s">
        <v>74</v>
      </c>
      <c r="P19" t="s">
        <v>74</v>
      </c>
      <c r="Q19" t="s">
        <v>74</v>
      </c>
      <c r="R19" t="s">
        <v>74</v>
      </c>
      <c r="S19" t="s">
        <v>74</v>
      </c>
      <c r="T19" t="s">
        <v>507</v>
      </c>
      <c r="U19" t="s">
        <v>508</v>
      </c>
      <c r="V19" t="s">
        <v>509</v>
      </c>
      <c r="W19" t="s">
        <v>510</v>
      </c>
      <c r="X19" t="s">
        <v>511</v>
      </c>
      <c r="Y19" t="s">
        <v>512</v>
      </c>
      <c r="Z19" t="s">
        <v>513</v>
      </c>
      <c r="AA19" t="s">
        <v>514</v>
      </c>
      <c r="AB19" t="s">
        <v>515</v>
      </c>
      <c r="AC19" t="s">
        <v>516</v>
      </c>
      <c r="AD19" t="s">
        <v>517</v>
      </c>
      <c r="AE19" t="s">
        <v>518</v>
      </c>
      <c r="AF19" t="s">
        <v>74</v>
      </c>
      <c r="AG19">
        <v>48</v>
      </c>
      <c r="AH19">
        <v>17</v>
      </c>
      <c r="AI19">
        <v>19</v>
      </c>
      <c r="AJ19">
        <v>9</v>
      </c>
      <c r="AK19">
        <v>31</v>
      </c>
      <c r="AL19" t="s">
        <v>519</v>
      </c>
      <c r="AM19" t="s">
        <v>520</v>
      </c>
      <c r="AN19" t="s">
        <v>521</v>
      </c>
      <c r="AO19" t="s">
        <v>74</v>
      </c>
      <c r="AP19" t="s">
        <v>522</v>
      </c>
      <c r="AQ19" t="s">
        <v>74</v>
      </c>
      <c r="AR19" t="s">
        <v>506</v>
      </c>
      <c r="AS19" t="s">
        <v>523</v>
      </c>
      <c r="AT19" t="s">
        <v>524</v>
      </c>
      <c r="AU19">
        <v>2025</v>
      </c>
      <c r="AV19">
        <v>4</v>
      </c>
      <c r="AW19">
        <v>2</v>
      </c>
      <c r="AX19" t="s">
        <v>74</v>
      </c>
      <c r="AY19" t="s">
        <v>74</v>
      </c>
      <c r="AZ19" t="s">
        <v>74</v>
      </c>
      <c r="BA19" t="s">
        <v>74</v>
      </c>
      <c r="BB19" t="s">
        <v>74</v>
      </c>
      <c r="BC19" t="s">
        <v>74</v>
      </c>
      <c r="BD19" t="s">
        <v>525</v>
      </c>
      <c r="BE19" t="s">
        <v>526</v>
      </c>
      <c r="BF19" t="str">
        <f>HYPERLINK("http://dx.doi.org/10.1093/pnasnexus/pgaf023","http://dx.doi.org/10.1093/pnasnexus/pgaf023")</f>
        <v>http://dx.doi.org/10.1093/pnasnexus/pgaf023</v>
      </c>
      <c r="BG19" t="s">
        <v>74</v>
      </c>
      <c r="BH19" t="s">
        <v>74</v>
      </c>
      <c r="BI19">
        <v>8</v>
      </c>
      <c r="BJ19" t="s">
        <v>527</v>
      </c>
      <c r="BK19" t="s">
        <v>236</v>
      </c>
      <c r="BL19" t="s">
        <v>528</v>
      </c>
      <c r="BM19" t="s">
        <v>529</v>
      </c>
      <c r="BN19">
        <v>39925855</v>
      </c>
      <c r="BO19" t="s">
        <v>191</v>
      </c>
      <c r="BP19" t="s">
        <v>74</v>
      </c>
      <c r="BQ19" t="s">
        <v>74</v>
      </c>
      <c r="BR19" t="s">
        <v>106</v>
      </c>
      <c r="BS19" t="s">
        <v>530</v>
      </c>
      <c r="BT19" t="str">
        <f>HYPERLINK("https%3A%2F%2Fwww.webofscience.com%2Fwos%2Fwoscc%2Ffull-record%2FWOS:001415072600001","View Full Record in Web of Science")</f>
        <v>View Full Record in Web of Science</v>
      </c>
    </row>
    <row r="20" spans="1:72" x14ac:dyDescent="0.15">
      <c r="A20" t="s">
        <v>72</v>
      </c>
      <c r="B20" t="s">
        <v>531</v>
      </c>
      <c r="C20" t="s">
        <v>74</v>
      </c>
      <c r="D20" t="s">
        <v>74</v>
      </c>
      <c r="E20" t="s">
        <v>74</v>
      </c>
      <c r="F20" t="s">
        <v>532</v>
      </c>
      <c r="G20" t="s">
        <v>74</v>
      </c>
      <c r="H20" t="s">
        <v>74</v>
      </c>
      <c r="I20" t="s">
        <v>533</v>
      </c>
      <c r="J20" t="s">
        <v>534</v>
      </c>
      <c r="K20" t="s">
        <v>74</v>
      </c>
      <c r="L20" t="s">
        <v>74</v>
      </c>
      <c r="M20" t="s">
        <v>78</v>
      </c>
      <c r="N20" t="s">
        <v>79</v>
      </c>
      <c r="O20" t="s">
        <v>74</v>
      </c>
      <c r="P20" t="s">
        <v>74</v>
      </c>
      <c r="Q20" t="s">
        <v>74</v>
      </c>
      <c r="R20" t="s">
        <v>74</v>
      </c>
      <c r="S20" t="s">
        <v>74</v>
      </c>
      <c r="T20" t="s">
        <v>535</v>
      </c>
      <c r="U20" t="s">
        <v>536</v>
      </c>
      <c r="V20" t="s">
        <v>537</v>
      </c>
      <c r="W20" t="s">
        <v>538</v>
      </c>
      <c r="X20" t="s">
        <v>539</v>
      </c>
      <c r="Y20" t="s">
        <v>540</v>
      </c>
      <c r="Z20" t="s">
        <v>541</v>
      </c>
      <c r="AA20" t="s">
        <v>542</v>
      </c>
      <c r="AB20" t="s">
        <v>543</v>
      </c>
      <c r="AC20" t="s">
        <v>544</v>
      </c>
      <c r="AD20" t="s">
        <v>545</v>
      </c>
      <c r="AE20" t="s">
        <v>546</v>
      </c>
      <c r="AF20" t="s">
        <v>74</v>
      </c>
      <c r="AG20">
        <v>47</v>
      </c>
      <c r="AH20">
        <v>2</v>
      </c>
      <c r="AI20">
        <v>2</v>
      </c>
      <c r="AJ20">
        <v>4</v>
      </c>
      <c r="AK20">
        <v>18</v>
      </c>
      <c r="AL20" t="s">
        <v>547</v>
      </c>
      <c r="AM20" t="s">
        <v>548</v>
      </c>
      <c r="AN20" t="s">
        <v>549</v>
      </c>
      <c r="AO20" t="s">
        <v>74</v>
      </c>
      <c r="AP20" t="s">
        <v>550</v>
      </c>
      <c r="AQ20" t="s">
        <v>74</v>
      </c>
      <c r="AR20" t="s">
        <v>534</v>
      </c>
      <c r="AS20" t="s">
        <v>551</v>
      </c>
      <c r="AT20" t="s">
        <v>552</v>
      </c>
      <c r="AU20">
        <v>2024</v>
      </c>
      <c r="AV20">
        <v>6</v>
      </c>
      <c r="AW20">
        <v>12</v>
      </c>
      <c r="AX20" t="s">
        <v>74</v>
      </c>
      <c r="AY20" t="s">
        <v>74</v>
      </c>
      <c r="AZ20" t="s">
        <v>74</v>
      </c>
      <c r="BA20" t="s">
        <v>74</v>
      </c>
      <c r="BB20" t="s">
        <v>74</v>
      </c>
      <c r="BC20" t="s">
        <v>74</v>
      </c>
      <c r="BD20" t="s">
        <v>74</v>
      </c>
      <c r="BE20" t="s">
        <v>553</v>
      </c>
      <c r="BF20" t="str">
        <f>HYPERLINK("http://dx.doi.org/10.1002/eom2.12504","http://dx.doi.org/10.1002/eom2.12504")</f>
        <v>http://dx.doi.org/10.1002/eom2.12504</v>
      </c>
      <c r="BG20" t="s">
        <v>74</v>
      </c>
      <c r="BH20" t="s">
        <v>554</v>
      </c>
      <c r="BI20">
        <v>11</v>
      </c>
      <c r="BJ20" t="s">
        <v>555</v>
      </c>
      <c r="BK20" t="s">
        <v>103</v>
      </c>
      <c r="BL20" t="s">
        <v>556</v>
      </c>
      <c r="BM20" t="s">
        <v>557</v>
      </c>
      <c r="BN20" t="s">
        <v>74</v>
      </c>
      <c r="BO20" t="s">
        <v>558</v>
      </c>
      <c r="BP20" t="s">
        <v>74</v>
      </c>
      <c r="BQ20" t="s">
        <v>74</v>
      </c>
      <c r="BR20" t="s">
        <v>106</v>
      </c>
      <c r="BS20" t="s">
        <v>559</v>
      </c>
      <c r="BT20" t="str">
        <f>HYPERLINK("https%3A%2F%2Fwww.webofscience.com%2Fwos%2Fwoscc%2Ffull-record%2FWOS:001357301900001","View Full Record in Web of Science")</f>
        <v>View Full Record in Web of Science</v>
      </c>
    </row>
    <row r="21" spans="1:72" x14ac:dyDescent="0.15">
      <c r="A21" t="s">
        <v>72</v>
      </c>
      <c r="B21" t="s">
        <v>560</v>
      </c>
      <c r="C21" t="s">
        <v>74</v>
      </c>
      <c r="D21" t="s">
        <v>74</v>
      </c>
      <c r="E21" t="s">
        <v>74</v>
      </c>
      <c r="F21" t="s">
        <v>561</v>
      </c>
      <c r="G21" t="s">
        <v>74</v>
      </c>
      <c r="H21" t="s">
        <v>74</v>
      </c>
      <c r="I21" t="s">
        <v>562</v>
      </c>
      <c r="J21" t="s">
        <v>563</v>
      </c>
      <c r="K21" t="s">
        <v>74</v>
      </c>
      <c r="L21" t="s">
        <v>74</v>
      </c>
      <c r="M21" t="s">
        <v>78</v>
      </c>
      <c r="N21" t="s">
        <v>79</v>
      </c>
      <c r="O21" t="s">
        <v>74</v>
      </c>
      <c r="P21" t="s">
        <v>74</v>
      </c>
      <c r="Q21" t="s">
        <v>74</v>
      </c>
      <c r="R21" t="s">
        <v>74</v>
      </c>
      <c r="S21" t="s">
        <v>74</v>
      </c>
      <c r="T21" t="s">
        <v>74</v>
      </c>
      <c r="U21" t="s">
        <v>564</v>
      </c>
      <c r="V21" t="s">
        <v>565</v>
      </c>
      <c r="W21" t="s">
        <v>566</v>
      </c>
      <c r="X21" t="s">
        <v>567</v>
      </c>
      <c r="Y21" t="s">
        <v>568</v>
      </c>
      <c r="Z21" t="s">
        <v>569</v>
      </c>
      <c r="AA21" t="s">
        <v>570</v>
      </c>
      <c r="AB21" t="s">
        <v>571</v>
      </c>
      <c r="AC21" t="s">
        <v>572</v>
      </c>
      <c r="AD21" t="s">
        <v>573</v>
      </c>
      <c r="AE21" t="s">
        <v>574</v>
      </c>
      <c r="AF21" t="s">
        <v>74</v>
      </c>
      <c r="AG21">
        <v>37</v>
      </c>
      <c r="AH21">
        <v>5</v>
      </c>
      <c r="AI21">
        <v>5</v>
      </c>
      <c r="AJ21">
        <v>3</v>
      </c>
      <c r="AK21">
        <v>9</v>
      </c>
      <c r="AL21" t="s">
        <v>152</v>
      </c>
      <c r="AM21" t="s">
        <v>153</v>
      </c>
      <c r="AN21" t="s">
        <v>154</v>
      </c>
      <c r="AO21" t="s">
        <v>575</v>
      </c>
      <c r="AP21" t="s">
        <v>576</v>
      </c>
      <c r="AQ21" t="s">
        <v>74</v>
      </c>
      <c r="AR21" t="s">
        <v>577</v>
      </c>
      <c r="AS21" t="s">
        <v>578</v>
      </c>
      <c r="AT21" t="s">
        <v>579</v>
      </c>
      <c r="AU21">
        <v>2024</v>
      </c>
      <c r="AV21">
        <v>36</v>
      </c>
      <c r="AW21">
        <v>23</v>
      </c>
      <c r="AX21" t="s">
        <v>74</v>
      </c>
      <c r="AY21" t="s">
        <v>74</v>
      </c>
      <c r="AZ21" t="s">
        <v>74</v>
      </c>
      <c r="BA21" t="s">
        <v>74</v>
      </c>
      <c r="BB21">
        <v>11440</v>
      </c>
      <c r="BC21">
        <v>11448</v>
      </c>
      <c r="BD21" t="s">
        <v>74</v>
      </c>
      <c r="BE21" t="s">
        <v>580</v>
      </c>
      <c r="BF21" t="str">
        <f>HYPERLINK("http://dx.doi.org/10.1021/acs.chemmater.4c02082","http://dx.doi.org/10.1021/acs.chemmater.4c02082")</f>
        <v>http://dx.doi.org/10.1021/acs.chemmater.4c02082</v>
      </c>
      <c r="BG21" t="s">
        <v>74</v>
      </c>
      <c r="BH21" t="s">
        <v>554</v>
      </c>
      <c r="BI21">
        <v>9</v>
      </c>
      <c r="BJ21" t="s">
        <v>581</v>
      </c>
      <c r="BK21" t="s">
        <v>103</v>
      </c>
      <c r="BL21" t="s">
        <v>189</v>
      </c>
      <c r="BM21" t="s">
        <v>582</v>
      </c>
      <c r="BN21" t="s">
        <v>74</v>
      </c>
      <c r="BO21" t="s">
        <v>105</v>
      </c>
      <c r="BP21" t="s">
        <v>74</v>
      </c>
      <c r="BQ21" t="s">
        <v>74</v>
      </c>
      <c r="BR21" t="s">
        <v>106</v>
      </c>
      <c r="BS21" t="s">
        <v>583</v>
      </c>
      <c r="BT21" t="str">
        <f>HYPERLINK("https%3A%2F%2Fwww.webofscience.com%2Fwos%2Fwoscc%2Ffull-record%2FWOS:001363814100001","View Full Record in Web of Science")</f>
        <v>View Full Record in Web of Science</v>
      </c>
    </row>
    <row r="22" spans="1:72" x14ac:dyDescent="0.15">
      <c r="A22" t="s">
        <v>72</v>
      </c>
      <c r="B22" t="s">
        <v>584</v>
      </c>
      <c r="C22" t="s">
        <v>74</v>
      </c>
      <c r="D22" t="s">
        <v>74</v>
      </c>
      <c r="E22" t="s">
        <v>74</v>
      </c>
      <c r="F22" t="s">
        <v>585</v>
      </c>
      <c r="G22" t="s">
        <v>74</v>
      </c>
      <c r="H22" t="s">
        <v>74</v>
      </c>
      <c r="I22" t="s">
        <v>586</v>
      </c>
      <c r="J22" t="s">
        <v>587</v>
      </c>
      <c r="K22" t="s">
        <v>74</v>
      </c>
      <c r="L22" t="s">
        <v>74</v>
      </c>
      <c r="M22" t="s">
        <v>78</v>
      </c>
      <c r="N22" t="s">
        <v>588</v>
      </c>
      <c r="O22" t="s">
        <v>74</v>
      </c>
      <c r="P22" t="s">
        <v>74</v>
      </c>
      <c r="Q22" t="s">
        <v>74</v>
      </c>
      <c r="R22" t="s">
        <v>74</v>
      </c>
      <c r="S22" t="s">
        <v>74</v>
      </c>
      <c r="T22" t="s">
        <v>589</v>
      </c>
      <c r="U22" t="s">
        <v>590</v>
      </c>
      <c r="V22" t="s">
        <v>591</v>
      </c>
      <c r="W22" t="s">
        <v>592</v>
      </c>
      <c r="X22" t="s">
        <v>145</v>
      </c>
      <c r="Y22" t="s">
        <v>593</v>
      </c>
      <c r="Z22" t="s">
        <v>594</v>
      </c>
      <c r="AA22" t="s">
        <v>74</v>
      </c>
      <c r="AB22" t="s">
        <v>74</v>
      </c>
      <c r="AC22" t="s">
        <v>595</v>
      </c>
      <c r="AD22" t="s">
        <v>596</v>
      </c>
      <c r="AE22" t="s">
        <v>597</v>
      </c>
      <c r="AF22" t="s">
        <v>74</v>
      </c>
      <c r="AG22">
        <v>48</v>
      </c>
      <c r="AH22">
        <v>0</v>
      </c>
      <c r="AI22">
        <v>0</v>
      </c>
      <c r="AJ22">
        <v>3</v>
      </c>
      <c r="AK22">
        <v>3</v>
      </c>
      <c r="AL22" t="s">
        <v>179</v>
      </c>
      <c r="AM22" t="s">
        <v>180</v>
      </c>
      <c r="AN22" t="s">
        <v>181</v>
      </c>
      <c r="AO22" t="s">
        <v>598</v>
      </c>
      <c r="AP22" t="s">
        <v>599</v>
      </c>
      <c r="AQ22" t="s">
        <v>74</v>
      </c>
      <c r="AR22" t="s">
        <v>600</v>
      </c>
      <c r="AS22" t="s">
        <v>601</v>
      </c>
      <c r="AT22" t="s">
        <v>602</v>
      </c>
      <c r="AU22">
        <v>2026</v>
      </c>
      <c r="AV22" t="s">
        <v>74</v>
      </c>
      <c r="AW22" t="s">
        <v>74</v>
      </c>
      <c r="AX22" t="s">
        <v>74</v>
      </c>
      <c r="AY22" t="s">
        <v>74</v>
      </c>
      <c r="AZ22" t="s">
        <v>74</v>
      </c>
      <c r="BA22" t="s">
        <v>74</v>
      </c>
      <c r="BB22" t="s">
        <v>74</v>
      </c>
      <c r="BC22" t="s">
        <v>74</v>
      </c>
      <c r="BD22" t="s">
        <v>74</v>
      </c>
      <c r="BE22" t="s">
        <v>603</v>
      </c>
      <c r="BF22" t="str">
        <f>HYPERLINK("http://dx.doi.org/10.1002/adma.202523133","http://dx.doi.org/10.1002/adma.202523133")</f>
        <v>http://dx.doi.org/10.1002/adma.202523133</v>
      </c>
      <c r="BG22" t="s">
        <v>74</v>
      </c>
      <c r="BH22" t="s">
        <v>604</v>
      </c>
      <c r="BI22">
        <v>14</v>
      </c>
      <c r="BJ22" t="s">
        <v>605</v>
      </c>
      <c r="BK22" t="s">
        <v>103</v>
      </c>
      <c r="BL22" t="s">
        <v>606</v>
      </c>
      <c r="BM22" t="s">
        <v>607</v>
      </c>
      <c r="BN22">
        <v>42003814</v>
      </c>
      <c r="BO22" t="s">
        <v>344</v>
      </c>
      <c r="BP22" t="s">
        <v>74</v>
      </c>
      <c r="BQ22" t="s">
        <v>74</v>
      </c>
      <c r="BR22" t="s">
        <v>106</v>
      </c>
      <c r="BS22" t="s">
        <v>608</v>
      </c>
      <c r="BT22" t="str">
        <f>HYPERLINK("https%3A%2F%2Fwww.webofscience.com%2Fwos%2Fwoscc%2Ffull-record%2FWOS:001743729800001","View Full Record in Web of Science")</f>
        <v>View Full Record in Web of Science</v>
      </c>
    </row>
    <row r="23" spans="1:72" x14ac:dyDescent="0.15">
      <c r="A23" t="s">
        <v>72</v>
      </c>
      <c r="B23" t="s">
        <v>609</v>
      </c>
      <c r="C23" t="s">
        <v>74</v>
      </c>
      <c r="D23" t="s">
        <v>74</v>
      </c>
      <c r="E23" t="s">
        <v>74</v>
      </c>
      <c r="F23" t="s">
        <v>610</v>
      </c>
      <c r="G23" t="s">
        <v>74</v>
      </c>
      <c r="H23" t="s">
        <v>74</v>
      </c>
      <c r="I23" t="s">
        <v>611</v>
      </c>
      <c r="J23" t="s">
        <v>612</v>
      </c>
      <c r="K23" t="s">
        <v>74</v>
      </c>
      <c r="L23" t="s">
        <v>74</v>
      </c>
      <c r="M23" t="s">
        <v>78</v>
      </c>
      <c r="N23" t="s">
        <v>613</v>
      </c>
      <c r="O23" t="s">
        <v>74</v>
      </c>
      <c r="P23" t="s">
        <v>74</v>
      </c>
      <c r="Q23" t="s">
        <v>74</v>
      </c>
      <c r="R23" t="s">
        <v>74</v>
      </c>
      <c r="S23" t="s">
        <v>74</v>
      </c>
      <c r="T23" t="s">
        <v>74</v>
      </c>
      <c r="U23" t="s">
        <v>614</v>
      </c>
      <c r="V23" t="s">
        <v>615</v>
      </c>
      <c r="W23" t="s">
        <v>616</v>
      </c>
      <c r="X23" t="s">
        <v>617</v>
      </c>
      <c r="Y23" t="s">
        <v>618</v>
      </c>
      <c r="Z23" t="s">
        <v>619</v>
      </c>
      <c r="AA23" t="s">
        <v>620</v>
      </c>
      <c r="AB23" t="s">
        <v>621</v>
      </c>
      <c r="AC23" t="s">
        <v>622</v>
      </c>
      <c r="AD23" t="s">
        <v>623</v>
      </c>
      <c r="AE23" t="s">
        <v>624</v>
      </c>
      <c r="AF23" t="s">
        <v>74</v>
      </c>
      <c r="AG23">
        <v>36</v>
      </c>
      <c r="AH23">
        <v>0</v>
      </c>
      <c r="AI23">
        <v>0</v>
      </c>
      <c r="AJ23">
        <v>3</v>
      </c>
      <c r="AK23">
        <v>7</v>
      </c>
      <c r="AL23" t="s">
        <v>625</v>
      </c>
      <c r="AM23" t="s">
        <v>626</v>
      </c>
      <c r="AN23" t="s">
        <v>627</v>
      </c>
      <c r="AO23" t="s">
        <v>628</v>
      </c>
      <c r="AP23" t="s">
        <v>629</v>
      </c>
      <c r="AQ23" t="s">
        <v>74</v>
      </c>
      <c r="AR23" t="s">
        <v>630</v>
      </c>
      <c r="AS23" t="s">
        <v>631</v>
      </c>
      <c r="AT23" t="s">
        <v>632</v>
      </c>
      <c r="AU23">
        <v>2025</v>
      </c>
      <c r="AV23">
        <v>43</v>
      </c>
      <c r="AW23">
        <v>4</v>
      </c>
      <c r="AX23" t="s">
        <v>74</v>
      </c>
      <c r="AY23" t="s">
        <v>74</v>
      </c>
      <c r="AZ23" t="s">
        <v>74</v>
      </c>
      <c r="BA23" t="s">
        <v>74</v>
      </c>
      <c r="BB23" t="s">
        <v>74</v>
      </c>
      <c r="BC23" t="s">
        <v>74</v>
      </c>
      <c r="BD23">
        <v>40601</v>
      </c>
      <c r="BE23" t="s">
        <v>633</v>
      </c>
      <c r="BF23" t="str">
        <f>HYPERLINK("http://dx.doi.org/10.1116/6.0004664","http://dx.doi.org/10.1116/6.0004664")</f>
        <v>http://dx.doi.org/10.1116/6.0004664</v>
      </c>
      <c r="BG23" t="s">
        <v>74</v>
      </c>
      <c r="BH23" t="s">
        <v>74</v>
      </c>
      <c r="BI23">
        <v>8</v>
      </c>
      <c r="BJ23" t="s">
        <v>634</v>
      </c>
      <c r="BK23" t="s">
        <v>103</v>
      </c>
      <c r="BL23" t="s">
        <v>635</v>
      </c>
      <c r="BM23" t="s">
        <v>636</v>
      </c>
      <c r="BN23" t="s">
        <v>74</v>
      </c>
      <c r="BO23" t="s">
        <v>74</v>
      </c>
      <c r="BP23" t="s">
        <v>74</v>
      </c>
      <c r="BQ23" t="s">
        <v>74</v>
      </c>
      <c r="BR23" t="s">
        <v>106</v>
      </c>
      <c r="BS23" t="s">
        <v>637</v>
      </c>
      <c r="BT23" t="str">
        <f>HYPERLINK("https%3A%2F%2Fwww.webofscience.com%2Fwos%2Fwoscc%2Ffull-record%2FWOS:001520589500001","View Full Record in Web of Science")</f>
        <v>View Full Record in Web of Science</v>
      </c>
    </row>
    <row r="24" spans="1:72" x14ac:dyDescent="0.15">
      <c r="A24" t="s">
        <v>72</v>
      </c>
      <c r="B24" t="s">
        <v>108</v>
      </c>
      <c r="C24" t="s">
        <v>74</v>
      </c>
      <c r="D24" t="s">
        <v>74</v>
      </c>
      <c r="E24" t="s">
        <v>74</v>
      </c>
      <c r="F24" t="s">
        <v>109</v>
      </c>
      <c r="G24" t="s">
        <v>74</v>
      </c>
      <c r="H24" t="s">
        <v>74</v>
      </c>
      <c r="I24" t="s">
        <v>638</v>
      </c>
      <c r="J24" t="s">
        <v>639</v>
      </c>
      <c r="K24" t="s">
        <v>74</v>
      </c>
      <c r="L24" t="s">
        <v>74</v>
      </c>
      <c r="M24" t="s">
        <v>78</v>
      </c>
      <c r="N24" t="s">
        <v>79</v>
      </c>
      <c r="O24" t="s">
        <v>74</v>
      </c>
      <c r="P24" t="s">
        <v>74</v>
      </c>
      <c r="Q24" t="s">
        <v>74</v>
      </c>
      <c r="R24" t="s">
        <v>74</v>
      </c>
      <c r="S24" t="s">
        <v>74</v>
      </c>
      <c r="T24" t="s">
        <v>74</v>
      </c>
      <c r="U24" t="s">
        <v>640</v>
      </c>
      <c r="V24" t="s">
        <v>641</v>
      </c>
      <c r="W24" t="s">
        <v>115</v>
      </c>
      <c r="X24" t="s">
        <v>116</v>
      </c>
      <c r="Y24" t="s">
        <v>117</v>
      </c>
      <c r="Z24" t="s">
        <v>118</v>
      </c>
      <c r="AA24" t="s">
        <v>74</v>
      </c>
      <c r="AB24" t="s">
        <v>74</v>
      </c>
      <c r="AC24" t="s">
        <v>642</v>
      </c>
      <c r="AD24" t="s">
        <v>643</v>
      </c>
      <c r="AE24" t="s">
        <v>644</v>
      </c>
      <c r="AF24" t="s">
        <v>74</v>
      </c>
      <c r="AG24">
        <v>52</v>
      </c>
      <c r="AH24">
        <v>0</v>
      </c>
      <c r="AI24">
        <v>0</v>
      </c>
      <c r="AJ24">
        <v>0</v>
      </c>
      <c r="AK24">
        <v>0</v>
      </c>
      <c r="AL24" t="s">
        <v>645</v>
      </c>
      <c r="AM24" t="s">
        <v>646</v>
      </c>
      <c r="AN24" t="s">
        <v>647</v>
      </c>
      <c r="AO24" t="s">
        <v>648</v>
      </c>
      <c r="AP24" t="s">
        <v>74</v>
      </c>
      <c r="AQ24" t="s">
        <v>74</v>
      </c>
      <c r="AR24" t="s">
        <v>649</v>
      </c>
      <c r="AS24" t="s">
        <v>650</v>
      </c>
      <c r="AT24" t="s">
        <v>651</v>
      </c>
      <c r="AU24">
        <v>2026</v>
      </c>
      <c r="AV24">
        <v>11</v>
      </c>
      <c r="AW24">
        <v>3</v>
      </c>
      <c r="AX24" t="s">
        <v>74</v>
      </c>
      <c r="AY24" t="s">
        <v>74</v>
      </c>
      <c r="AZ24" t="s">
        <v>74</v>
      </c>
      <c r="BA24" t="s">
        <v>74</v>
      </c>
      <c r="BB24" t="s">
        <v>74</v>
      </c>
      <c r="BC24" t="s">
        <v>74</v>
      </c>
      <c r="BD24">
        <v>33101</v>
      </c>
      <c r="BE24" t="s">
        <v>652</v>
      </c>
      <c r="BF24" t="str">
        <f>HYPERLINK("http://dx.doi.org/10.1103/pw9s-vvf4","http://dx.doi.org/10.1103/pw9s-vvf4")</f>
        <v>http://dx.doi.org/10.1103/pw9s-vvf4</v>
      </c>
      <c r="BG24" t="s">
        <v>74</v>
      </c>
      <c r="BH24" t="s">
        <v>74</v>
      </c>
      <c r="BI24">
        <v>37</v>
      </c>
      <c r="BJ24" t="s">
        <v>653</v>
      </c>
      <c r="BK24" t="s">
        <v>103</v>
      </c>
      <c r="BL24" t="s">
        <v>654</v>
      </c>
      <c r="BM24" t="s">
        <v>655</v>
      </c>
      <c r="BN24" t="s">
        <v>74</v>
      </c>
      <c r="BO24" t="s">
        <v>74</v>
      </c>
      <c r="BP24" t="s">
        <v>74</v>
      </c>
      <c r="BQ24" t="s">
        <v>74</v>
      </c>
      <c r="BR24" t="s">
        <v>106</v>
      </c>
      <c r="BS24" t="s">
        <v>656</v>
      </c>
      <c r="BT24" t="str">
        <f>HYPERLINK("https%3A%2F%2Fwww.webofscience.com%2Fwos%2Fwoscc%2Ffull-record%2FWOS:001718607000001","View Full Record in Web of Science")</f>
        <v>View Full Record in Web of Science</v>
      </c>
    </row>
    <row r="25" spans="1:72" x14ac:dyDescent="0.15">
      <c r="A25" t="s">
        <v>72</v>
      </c>
      <c r="B25" t="s">
        <v>657</v>
      </c>
      <c r="C25" t="s">
        <v>74</v>
      </c>
      <c r="D25" t="s">
        <v>74</v>
      </c>
      <c r="E25" t="s">
        <v>74</v>
      </c>
      <c r="F25" t="s">
        <v>658</v>
      </c>
      <c r="G25" t="s">
        <v>74</v>
      </c>
      <c r="H25" t="s">
        <v>74</v>
      </c>
      <c r="I25" t="s">
        <v>659</v>
      </c>
      <c r="J25" t="s">
        <v>429</v>
      </c>
      <c r="K25" t="s">
        <v>74</v>
      </c>
      <c r="L25" t="s">
        <v>74</v>
      </c>
      <c r="M25" t="s">
        <v>78</v>
      </c>
      <c r="N25" t="s">
        <v>79</v>
      </c>
      <c r="O25" t="s">
        <v>74</v>
      </c>
      <c r="P25" t="s">
        <v>74</v>
      </c>
      <c r="Q25" t="s">
        <v>74</v>
      </c>
      <c r="R25" t="s">
        <v>74</v>
      </c>
      <c r="S25" t="s">
        <v>74</v>
      </c>
      <c r="T25" t="s">
        <v>660</v>
      </c>
      <c r="U25" t="s">
        <v>661</v>
      </c>
      <c r="V25" t="s">
        <v>662</v>
      </c>
      <c r="W25" t="s">
        <v>663</v>
      </c>
      <c r="X25" t="s">
        <v>145</v>
      </c>
      <c r="Y25" t="s">
        <v>664</v>
      </c>
      <c r="Z25" t="s">
        <v>665</v>
      </c>
      <c r="AA25" t="s">
        <v>666</v>
      </c>
      <c r="AB25" t="s">
        <v>667</v>
      </c>
      <c r="AC25" t="s">
        <v>668</v>
      </c>
      <c r="AD25" t="s">
        <v>669</v>
      </c>
      <c r="AE25" t="s">
        <v>670</v>
      </c>
      <c r="AF25" t="s">
        <v>74</v>
      </c>
      <c r="AG25">
        <v>63</v>
      </c>
      <c r="AH25">
        <v>7</v>
      </c>
      <c r="AI25">
        <v>9</v>
      </c>
      <c r="AJ25">
        <v>6</v>
      </c>
      <c r="AK25">
        <v>23</v>
      </c>
      <c r="AL25" t="s">
        <v>152</v>
      </c>
      <c r="AM25" t="s">
        <v>153</v>
      </c>
      <c r="AN25" t="s">
        <v>154</v>
      </c>
      <c r="AO25" t="s">
        <v>440</v>
      </c>
      <c r="AP25" t="s">
        <v>441</v>
      </c>
      <c r="AQ25" t="s">
        <v>74</v>
      </c>
      <c r="AR25" t="s">
        <v>442</v>
      </c>
      <c r="AS25" t="s">
        <v>443</v>
      </c>
      <c r="AT25" t="s">
        <v>671</v>
      </c>
      <c r="AU25">
        <v>2024</v>
      </c>
      <c r="AV25">
        <v>16</v>
      </c>
      <c r="AW25">
        <v>44</v>
      </c>
      <c r="AX25" t="s">
        <v>74</v>
      </c>
      <c r="AY25" t="s">
        <v>74</v>
      </c>
      <c r="AZ25" t="s">
        <v>74</v>
      </c>
      <c r="BA25" t="s">
        <v>74</v>
      </c>
      <c r="BB25">
        <v>61083</v>
      </c>
      <c r="BC25">
        <v>61095</v>
      </c>
      <c r="BD25" t="s">
        <v>74</v>
      </c>
      <c r="BE25" t="s">
        <v>672</v>
      </c>
      <c r="BF25" t="str">
        <f>HYPERLINK("http://dx.doi.org/10.1021/acsami.4c14774","http://dx.doi.org/10.1021/acsami.4c14774")</f>
        <v>http://dx.doi.org/10.1021/acsami.4c14774</v>
      </c>
      <c r="BG25" t="s">
        <v>74</v>
      </c>
      <c r="BH25" t="s">
        <v>498</v>
      </c>
      <c r="BI25">
        <v>13</v>
      </c>
      <c r="BJ25" t="s">
        <v>446</v>
      </c>
      <c r="BK25" t="s">
        <v>103</v>
      </c>
      <c r="BL25" t="s">
        <v>447</v>
      </c>
      <c r="BM25" t="s">
        <v>673</v>
      </c>
      <c r="BN25">
        <v>39460750</v>
      </c>
      <c r="BO25" t="s">
        <v>74</v>
      </c>
      <c r="BP25" t="s">
        <v>74</v>
      </c>
      <c r="BQ25" t="s">
        <v>74</v>
      </c>
      <c r="BR25" t="s">
        <v>106</v>
      </c>
      <c r="BS25" t="s">
        <v>674</v>
      </c>
      <c r="BT25" t="str">
        <f>HYPERLINK("https%3A%2F%2Fwww.webofscience.com%2Fwos%2Fwoscc%2Ffull-record%2FWOS:001343724300001","View Full Record in Web of Science")</f>
        <v>View Full Record in Web of Science</v>
      </c>
    </row>
    <row r="26" spans="1:72" x14ac:dyDescent="0.15">
      <c r="A26" t="s">
        <v>72</v>
      </c>
      <c r="B26" t="s">
        <v>675</v>
      </c>
      <c r="C26" t="s">
        <v>74</v>
      </c>
      <c r="D26" t="s">
        <v>74</v>
      </c>
      <c r="E26" t="s">
        <v>74</v>
      </c>
      <c r="F26" t="s">
        <v>676</v>
      </c>
      <c r="G26" t="s">
        <v>74</v>
      </c>
      <c r="H26" t="s">
        <v>74</v>
      </c>
      <c r="I26" t="s">
        <v>677</v>
      </c>
      <c r="J26" t="s">
        <v>678</v>
      </c>
      <c r="K26" t="s">
        <v>74</v>
      </c>
      <c r="L26" t="s">
        <v>74</v>
      </c>
      <c r="M26" t="s">
        <v>78</v>
      </c>
      <c r="N26" t="s">
        <v>79</v>
      </c>
      <c r="O26" t="s">
        <v>74</v>
      </c>
      <c r="P26" t="s">
        <v>74</v>
      </c>
      <c r="Q26" t="s">
        <v>74</v>
      </c>
      <c r="R26" t="s">
        <v>74</v>
      </c>
      <c r="S26" t="s">
        <v>74</v>
      </c>
      <c r="T26" t="s">
        <v>679</v>
      </c>
      <c r="U26" t="s">
        <v>680</v>
      </c>
      <c r="V26" t="s">
        <v>681</v>
      </c>
      <c r="W26" t="s">
        <v>682</v>
      </c>
      <c r="X26" t="s">
        <v>354</v>
      </c>
      <c r="Y26" t="s">
        <v>683</v>
      </c>
      <c r="Z26" t="s">
        <v>173</v>
      </c>
      <c r="AA26" t="s">
        <v>684</v>
      </c>
      <c r="AB26" t="s">
        <v>685</v>
      </c>
      <c r="AC26" t="s">
        <v>686</v>
      </c>
      <c r="AD26" t="s">
        <v>687</v>
      </c>
      <c r="AE26" t="s">
        <v>688</v>
      </c>
      <c r="AF26" t="s">
        <v>74</v>
      </c>
      <c r="AG26">
        <v>52</v>
      </c>
      <c r="AH26">
        <v>8</v>
      </c>
      <c r="AI26">
        <v>8</v>
      </c>
      <c r="AJ26">
        <v>22</v>
      </c>
      <c r="AK26">
        <v>57</v>
      </c>
      <c r="AL26" t="s">
        <v>179</v>
      </c>
      <c r="AM26" t="s">
        <v>180</v>
      </c>
      <c r="AN26" t="s">
        <v>181</v>
      </c>
      <c r="AO26" t="s">
        <v>689</v>
      </c>
      <c r="AP26" t="s">
        <v>690</v>
      </c>
      <c r="AQ26" t="s">
        <v>74</v>
      </c>
      <c r="AR26" t="s">
        <v>691</v>
      </c>
      <c r="AS26" t="s">
        <v>692</v>
      </c>
      <c r="AT26" t="s">
        <v>99</v>
      </c>
      <c r="AU26">
        <v>2025</v>
      </c>
      <c r="AV26">
        <v>35</v>
      </c>
      <c r="AW26">
        <v>46</v>
      </c>
      <c r="AX26" t="s">
        <v>74</v>
      </c>
      <c r="AY26" t="s">
        <v>74</v>
      </c>
      <c r="AZ26" t="s">
        <v>74</v>
      </c>
      <c r="BA26" t="s">
        <v>74</v>
      </c>
      <c r="BB26" t="s">
        <v>74</v>
      </c>
      <c r="BC26" t="s">
        <v>74</v>
      </c>
      <c r="BD26" t="s">
        <v>74</v>
      </c>
      <c r="BE26" t="s">
        <v>693</v>
      </c>
      <c r="BF26" t="str">
        <f>HYPERLINK("http://dx.doi.org/10.1002/adfm.202506725","http://dx.doi.org/10.1002/adfm.202506725")</f>
        <v>http://dx.doi.org/10.1002/adfm.202506725</v>
      </c>
      <c r="BG26" t="s">
        <v>74</v>
      </c>
      <c r="BH26" t="s">
        <v>694</v>
      </c>
      <c r="BI26">
        <v>13</v>
      </c>
      <c r="BJ26" t="s">
        <v>605</v>
      </c>
      <c r="BK26" t="s">
        <v>103</v>
      </c>
      <c r="BL26" t="s">
        <v>606</v>
      </c>
      <c r="BM26" t="s">
        <v>695</v>
      </c>
      <c r="BN26" t="s">
        <v>74</v>
      </c>
      <c r="BO26" t="s">
        <v>344</v>
      </c>
      <c r="BP26" t="s">
        <v>74</v>
      </c>
      <c r="BQ26" t="s">
        <v>74</v>
      </c>
      <c r="BR26" t="s">
        <v>106</v>
      </c>
      <c r="BS26" t="s">
        <v>696</v>
      </c>
      <c r="BT26" t="str">
        <f>HYPERLINK("https%3A%2F%2Fwww.webofscience.com%2Fwos%2Fwoscc%2Ffull-record%2FWOS:001499897700001","View Full Record in Web of Science")</f>
        <v>View Full Record in Web of Science</v>
      </c>
    </row>
    <row r="27" spans="1:72" x14ac:dyDescent="0.15">
      <c r="A27" t="s">
        <v>72</v>
      </c>
      <c r="B27" t="s">
        <v>697</v>
      </c>
      <c r="C27" t="s">
        <v>74</v>
      </c>
      <c r="D27" t="s">
        <v>74</v>
      </c>
      <c r="E27" t="s">
        <v>74</v>
      </c>
      <c r="F27" t="s">
        <v>698</v>
      </c>
      <c r="G27" t="s">
        <v>74</v>
      </c>
      <c r="H27" t="s">
        <v>74</v>
      </c>
      <c r="I27" t="s">
        <v>699</v>
      </c>
      <c r="J27" t="s">
        <v>429</v>
      </c>
      <c r="K27" t="s">
        <v>74</v>
      </c>
      <c r="L27" t="s">
        <v>74</v>
      </c>
      <c r="M27" t="s">
        <v>78</v>
      </c>
      <c r="N27" t="s">
        <v>79</v>
      </c>
      <c r="O27" t="s">
        <v>74</v>
      </c>
      <c r="P27" t="s">
        <v>74</v>
      </c>
      <c r="Q27" t="s">
        <v>74</v>
      </c>
      <c r="R27" t="s">
        <v>74</v>
      </c>
      <c r="S27" t="s">
        <v>74</v>
      </c>
      <c r="T27" t="s">
        <v>700</v>
      </c>
      <c r="U27" t="s">
        <v>701</v>
      </c>
      <c r="V27" t="s">
        <v>702</v>
      </c>
      <c r="W27" t="s">
        <v>703</v>
      </c>
      <c r="X27" t="s">
        <v>539</v>
      </c>
      <c r="Y27" t="s">
        <v>704</v>
      </c>
      <c r="Z27" t="s">
        <v>541</v>
      </c>
      <c r="AA27" t="s">
        <v>705</v>
      </c>
      <c r="AB27" t="s">
        <v>706</v>
      </c>
      <c r="AC27" t="s">
        <v>707</v>
      </c>
      <c r="AD27" t="s">
        <v>708</v>
      </c>
      <c r="AE27" t="s">
        <v>709</v>
      </c>
      <c r="AF27" t="s">
        <v>74</v>
      </c>
      <c r="AG27">
        <v>58</v>
      </c>
      <c r="AH27">
        <v>2</v>
      </c>
      <c r="AI27">
        <v>2</v>
      </c>
      <c r="AJ27">
        <v>2</v>
      </c>
      <c r="AK27">
        <v>35</v>
      </c>
      <c r="AL27" t="s">
        <v>152</v>
      </c>
      <c r="AM27" t="s">
        <v>153</v>
      </c>
      <c r="AN27" t="s">
        <v>154</v>
      </c>
      <c r="AO27" t="s">
        <v>440</v>
      </c>
      <c r="AP27" t="s">
        <v>441</v>
      </c>
      <c r="AQ27" t="s">
        <v>74</v>
      </c>
      <c r="AR27" t="s">
        <v>442</v>
      </c>
      <c r="AS27" t="s">
        <v>443</v>
      </c>
      <c r="AT27" t="s">
        <v>710</v>
      </c>
      <c r="AU27">
        <v>2024</v>
      </c>
      <c r="AV27">
        <v>16</v>
      </c>
      <c r="AW27">
        <v>17</v>
      </c>
      <c r="AX27" t="s">
        <v>74</v>
      </c>
      <c r="AY27" t="s">
        <v>74</v>
      </c>
      <c r="AZ27" t="s">
        <v>74</v>
      </c>
      <c r="BA27" t="s">
        <v>74</v>
      </c>
      <c r="BB27">
        <v>21953</v>
      </c>
      <c r="BC27">
        <v>21964</v>
      </c>
      <c r="BD27" t="s">
        <v>74</v>
      </c>
      <c r="BE27" t="s">
        <v>711</v>
      </c>
      <c r="BF27" t="str">
        <f>HYPERLINK("http://dx.doi.org/10.1021/acsami.4c02147","http://dx.doi.org/10.1021/acsami.4c02147")</f>
        <v>http://dx.doi.org/10.1021/acsami.4c02147</v>
      </c>
      <c r="BG27" t="s">
        <v>74</v>
      </c>
      <c r="BH27" t="s">
        <v>712</v>
      </c>
      <c r="BI27">
        <v>12</v>
      </c>
      <c r="BJ27" t="s">
        <v>446</v>
      </c>
      <c r="BK27" t="s">
        <v>103</v>
      </c>
      <c r="BL27" t="s">
        <v>447</v>
      </c>
      <c r="BM27" t="s">
        <v>713</v>
      </c>
      <c r="BN27">
        <v>38629409</v>
      </c>
      <c r="BO27" t="s">
        <v>74</v>
      </c>
      <c r="BP27" t="s">
        <v>74</v>
      </c>
      <c r="BQ27" t="s">
        <v>74</v>
      </c>
      <c r="BR27" t="s">
        <v>106</v>
      </c>
      <c r="BS27" t="s">
        <v>714</v>
      </c>
      <c r="BT27" t="str">
        <f>HYPERLINK("https%3A%2F%2Fwww.webofscience.com%2Fwos%2Fwoscc%2Ffull-record%2FWOS:001204975200001","View Full Record in Web of Science")</f>
        <v>View Full Record in Web of Science</v>
      </c>
    </row>
    <row r="28" spans="1:72" x14ac:dyDescent="0.15">
      <c r="A28" t="s">
        <v>72</v>
      </c>
      <c r="B28" t="s">
        <v>715</v>
      </c>
      <c r="C28" t="s">
        <v>74</v>
      </c>
      <c r="D28" t="s">
        <v>74</v>
      </c>
      <c r="E28" t="s">
        <v>74</v>
      </c>
      <c r="F28" t="s">
        <v>716</v>
      </c>
      <c r="G28" t="s">
        <v>74</v>
      </c>
      <c r="H28" t="s">
        <v>74</v>
      </c>
      <c r="I28" t="s">
        <v>717</v>
      </c>
      <c r="J28" t="s">
        <v>718</v>
      </c>
      <c r="K28" t="s">
        <v>74</v>
      </c>
      <c r="L28" t="s">
        <v>74</v>
      </c>
      <c r="M28" t="s">
        <v>78</v>
      </c>
      <c r="N28" t="s">
        <v>79</v>
      </c>
      <c r="O28" t="s">
        <v>74</v>
      </c>
      <c r="P28" t="s">
        <v>74</v>
      </c>
      <c r="Q28" t="s">
        <v>74</v>
      </c>
      <c r="R28" t="s">
        <v>74</v>
      </c>
      <c r="S28" t="s">
        <v>74</v>
      </c>
      <c r="T28" t="s">
        <v>719</v>
      </c>
      <c r="U28" t="s">
        <v>720</v>
      </c>
      <c r="V28" t="s">
        <v>721</v>
      </c>
      <c r="W28" t="s">
        <v>722</v>
      </c>
      <c r="X28" t="s">
        <v>723</v>
      </c>
      <c r="Y28" t="s">
        <v>724</v>
      </c>
      <c r="Z28" t="s">
        <v>725</v>
      </c>
      <c r="AA28" t="s">
        <v>726</v>
      </c>
      <c r="AB28" t="s">
        <v>727</v>
      </c>
      <c r="AC28" t="s">
        <v>728</v>
      </c>
      <c r="AD28" t="s">
        <v>729</v>
      </c>
      <c r="AE28" t="s">
        <v>730</v>
      </c>
      <c r="AF28" t="s">
        <v>74</v>
      </c>
      <c r="AG28">
        <v>87</v>
      </c>
      <c r="AH28">
        <v>2</v>
      </c>
      <c r="AI28">
        <v>2</v>
      </c>
      <c r="AJ28">
        <v>3</v>
      </c>
      <c r="AK28">
        <v>26</v>
      </c>
      <c r="AL28" t="s">
        <v>731</v>
      </c>
      <c r="AM28" t="s">
        <v>732</v>
      </c>
      <c r="AN28" t="s">
        <v>733</v>
      </c>
      <c r="AO28" t="s">
        <v>734</v>
      </c>
      <c r="AP28" t="s">
        <v>735</v>
      </c>
      <c r="AQ28" t="s">
        <v>74</v>
      </c>
      <c r="AR28" t="s">
        <v>736</v>
      </c>
      <c r="AS28" t="s">
        <v>737</v>
      </c>
      <c r="AT28" t="s">
        <v>738</v>
      </c>
      <c r="AU28">
        <v>2024</v>
      </c>
      <c r="AV28">
        <v>171</v>
      </c>
      <c r="AW28">
        <v>5</v>
      </c>
      <c r="AX28" t="s">
        <v>74</v>
      </c>
      <c r="AY28" t="s">
        <v>74</v>
      </c>
      <c r="AZ28" t="s">
        <v>74</v>
      </c>
      <c r="BA28" t="s">
        <v>74</v>
      </c>
      <c r="BB28" t="s">
        <v>74</v>
      </c>
      <c r="BC28" t="s">
        <v>74</v>
      </c>
      <c r="BD28">
        <v>52502</v>
      </c>
      <c r="BE28" t="s">
        <v>739</v>
      </c>
      <c r="BF28" t="str">
        <f>HYPERLINK("http://dx.doi.org/10.1149/1945-7111/ad4310","http://dx.doi.org/10.1149/1945-7111/ad4310")</f>
        <v>http://dx.doi.org/10.1149/1945-7111/ad4310</v>
      </c>
      <c r="BG28" t="s">
        <v>74</v>
      </c>
      <c r="BH28" t="s">
        <v>74</v>
      </c>
      <c r="BI28">
        <v>25</v>
      </c>
      <c r="BJ28" t="s">
        <v>740</v>
      </c>
      <c r="BK28" t="s">
        <v>103</v>
      </c>
      <c r="BL28" t="s">
        <v>741</v>
      </c>
      <c r="BM28" t="s">
        <v>742</v>
      </c>
      <c r="BN28" t="s">
        <v>74</v>
      </c>
      <c r="BO28" t="s">
        <v>74</v>
      </c>
      <c r="BP28" t="s">
        <v>74</v>
      </c>
      <c r="BQ28" t="s">
        <v>74</v>
      </c>
      <c r="BR28" t="s">
        <v>106</v>
      </c>
      <c r="BS28" t="s">
        <v>743</v>
      </c>
      <c r="BT28" t="str">
        <f>HYPERLINK("https%3A%2F%2Fwww.webofscience.com%2Fwos%2Fwoscc%2Ffull-record%2FWOS:001235779700001","View Full Record in Web of Science")</f>
        <v>View Full Record in Web of Science</v>
      </c>
    </row>
    <row r="29" spans="1:72" x14ac:dyDescent="0.15">
      <c r="A29" t="s">
        <v>72</v>
      </c>
      <c r="B29" t="s">
        <v>744</v>
      </c>
      <c r="C29" t="s">
        <v>74</v>
      </c>
      <c r="D29" t="s">
        <v>74</v>
      </c>
      <c r="E29" t="s">
        <v>74</v>
      </c>
      <c r="F29" t="s">
        <v>745</v>
      </c>
      <c r="G29" t="s">
        <v>74</v>
      </c>
      <c r="H29" t="s">
        <v>74</v>
      </c>
      <c r="I29" t="s">
        <v>746</v>
      </c>
      <c r="J29" t="s">
        <v>747</v>
      </c>
      <c r="K29" t="s">
        <v>74</v>
      </c>
      <c r="L29" t="s">
        <v>74</v>
      </c>
      <c r="M29" t="s">
        <v>78</v>
      </c>
      <c r="N29" t="s">
        <v>79</v>
      </c>
      <c r="O29" t="s">
        <v>74</v>
      </c>
      <c r="P29" t="s">
        <v>74</v>
      </c>
      <c r="Q29" t="s">
        <v>74</v>
      </c>
      <c r="R29" t="s">
        <v>74</v>
      </c>
      <c r="S29" t="s">
        <v>74</v>
      </c>
      <c r="T29" t="s">
        <v>748</v>
      </c>
      <c r="U29" t="s">
        <v>749</v>
      </c>
      <c r="V29" t="s">
        <v>750</v>
      </c>
      <c r="W29" t="s">
        <v>751</v>
      </c>
      <c r="X29" t="s">
        <v>752</v>
      </c>
      <c r="Y29" t="s">
        <v>753</v>
      </c>
      <c r="Z29" t="s">
        <v>754</v>
      </c>
      <c r="AA29" t="s">
        <v>755</v>
      </c>
      <c r="AB29" t="s">
        <v>756</v>
      </c>
      <c r="AC29" t="s">
        <v>757</v>
      </c>
      <c r="AD29" t="s">
        <v>758</v>
      </c>
      <c r="AE29" t="s">
        <v>759</v>
      </c>
      <c r="AF29" t="s">
        <v>74</v>
      </c>
      <c r="AG29">
        <v>50</v>
      </c>
      <c r="AH29">
        <v>1</v>
      </c>
      <c r="AI29">
        <v>1</v>
      </c>
      <c r="AJ29">
        <v>1</v>
      </c>
      <c r="AK29">
        <v>6</v>
      </c>
      <c r="AL29" t="s">
        <v>760</v>
      </c>
      <c r="AM29" t="s">
        <v>761</v>
      </c>
      <c r="AN29" t="s">
        <v>762</v>
      </c>
      <c r="AO29" t="s">
        <v>74</v>
      </c>
      <c r="AP29" t="s">
        <v>763</v>
      </c>
      <c r="AQ29" t="s">
        <v>74</v>
      </c>
      <c r="AR29" t="s">
        <v>747</v>
      </c>
      <c r="AS29" t="s">
        <v>764</v>
      </c>
      <c r="AT29" t="s">
        <v>765</v>
      </c>
      <c r="AU29">
        <v>2025</v>
      </c>
      <c r="AV29">
        <v>18</v>
      </c>
      <c r="AW29">
        <v>18</v>
      </c>
      <c r="AX29" t="s">
        <v>74</v>
      </c>
      <c r="AY29" t="s">
        <v>74</v>
      </c>
      <c r="AZ29" t="s">
        <v>74</v>
      </c>
      <c r="BA29" t="s">
        <v>74</v>
      </c>
      <c r="BB29" t="s">
        <v>74</v>
      </c>
      <c r="BC29" t="s">
        <v>74</v>
      </c>
      <c r="BD29">
        <v>4287</v>
      </c>
      <c r="BE29" t="s">
        <v>766</v>
      </c>
      <c r="BF29" t="str">
        <f>HYPERLINK("http://dx.doi.org/10.3390/ma18184287","http://dx.doi.org/10.3390/ma18184287")</f>
        <v>http://dx.doi.org/10.3390/ma18184287</v>
      </c>
      <c r="BG29" t="s">
        <v>74</v>
      </c>
      <c r="BH29" t="s">
        <v>74</v>
      </c>
      <c r="BI29">
        <v>14</v>
      </c>
      <c r="BJ29" t="s">
        <v>767</v>
      </c>
      <c r="BK29" t="s">
        <v>103</v>
      </c>
      <c r="BL29" t="s">
        <v>768</v>
      </c>
      <c r="BM29" t="s">
        <v>769</v>
      </c>
      <c r="BN29">
        <v>41010131</v>
      </c>
      <c r="BO29" t="s">
        <v>191</v>
      </c>
      <c r="BP29" t="s">
        <v>74</v>
      </c>
      <c r="BQ29" t="s">
        <v>74</v>
      </c>
      <c r="BR29" t="s">
        <v>106</v>
      </c>
      <c r="BS29" t="s">
        <v>770</v>
      </c>
      <c r="BT29" t="str">
        <f>HYPERLINK("https%3A%2F%2Fwww.webofscience.com%2Fwos%2Fwoscc%2Ffull-record%2FWOS:001580691900001","View Full Record in Web of Science")</f>
        <v>View Full Record in Web of Science</v>
      </c>
    </row>
    <row r="30" spans="1:72" x14ac:dyDescent="0.15">
      <c r="A30" t="s">
        <v>72</v>
      </c>
      <c r="B30" t="s">
        <v>771</v>
      </c>
      <c r="C30" t="s">
        <v>74</v>
      </c>
      <c r="D30" t="s">
        <v>74</v>
      </c>
      <c r="E30" t="s">
        <v>74</v>
      </c>
      <c r="F30" t="s">
        <v>194</v>
      </c>
      <c r="G30" t="s">
        <v>74</v>
      </c>
      <c r="H30" t="s">
        <v>74</v>
      </c>
      <c r="I30" t="s">
        <v>772</v>
      </c>
      <c r="J30" t="s">
        <v>773</v>
      </c>
      <c r="K30" t="s">
        <v>74</v>
      </c>
      <c r="L30" t="s">
        <v>74</v>
      </c>
      <c r="M30" t="s">
        <v>78</v>
      </c>
      <c r="N30" t="s">
        <v>79</v>
      </c>
      <c r="O30" t="s">
        <v>74</v>
      </c>
      <c r="P30" t="s">
        <v>74</v>
      </c>
      <c r="Q30" t="s">
        <v>74</v>
      </c>
      <c r="R30" t="s">
        <v>74</v>
      </c>
      <c r="S30" t="s">
        <v>74</v>
      </c>
      <c r="T30" t="s">
        <v>74</v>
      </c>
      <c r="U30" t="s">
        <v>774</v>
      </c>
      <c r="V30" t="s">
        <v>775</v>
      </c>
      <c r="W30" t="s">
        <v>776</v>
      </c>
      <c r="X30" t="s">
        <v>145</v>
      </c>
      <c r="Y30" t="s">
        <v>777</v>
      </c>
      <c r="Z30" t="s">
        <v>200</v>
      </c>
      <c r="AA30" t="s">
        <v>778</v>
      </c>
      <c r="AB30" t="s">
        <v>779</v>
      </c>
      <c r="AC30" t="s">
        <v>780</v>
      </c>
      <c r="AD30" t="s">
        <v>781</v>
      </c>
      <c r="AE30" t="s">
        <v>782</v>
      </c>
      <c r="AF30" t="s">
        <v>74</v>
      </c>
      <c r="AG30">
        <v>48</v>
      </c>
      <c r="AH30">
        <v>1</v>
      </c>
      <c r="AI30">
        <v>1</v>
      </c>
      <c r="AJ30">
        <v>1</v>
      </c>
      <c r="AK30">
        <v>10</v>
      </c>
      <c r="AL30" t="s">
        <v>152</v>
      </c>
      <c r="AM30" t="s">
        <v>153</v>
      </c>
      <c r="AN30" t="s">
        <v>154</v>
      </c>
      <c r="AO30" t="s">
        <v>74</v>
      </c>
      <c r="AP30" t="s">
        <v>783</v>
      </c>
      <c r="AQ30" t="s">
        <v>74</v>
      </c>
      <c r="AR30" t="s">
        <v>784</v>
      </c>
      <c r="AS30" t="s">
        <v>785</v>
      </c>
      <c r="AT30" t="s">
        <v>786</v>
      </c>
      <c r="AU30">
        <v>2024</v>
      </c>
      <c r="AV30">
        <v>13</v>
      </c>
      <c r="AW30">
        <v>9</v>
      </c>
      <c r="AX30" t="s">
        <v>74</v>
      </c>
      <c r="AY30" t="s">
        <v>74</v>
      </c>
      <c r="AZ30" t="s">
        <v>74</v>
      </c>
      <c r="BA30" t="s">
        <v>74</v>
      </c>
      <c r="BB30">
        <v>1192</v>
      </c>
      <c r="BC30">
        <v>1197</v>
      </c>
      <c r="BD30" t="s">
        <v>74</v>
      </c>
      <c r="BE30" t="s">
        <v>787</v>
      </c>
      <c r="BF30" t="str">
        <f>HYPERLINK("http://dx.doi.org/10.1021/acsmacrolett.4c00438","http://dx.doi.org/10.1021/acsmacrolett.4c00438")</f>
        <v>http://dx.doi.org/10.1021/acsmacrolett.4c00438</v>
      </c>
      <c r="BG30" t="s">
        <v>74</v>
      </c>
      <c r="BH30" t="s">
        <v>788</v>
      </c>
      <c r="BI30">
        <v>6</v>
      </c>
      <c r="BJ30" t="s">
        <v>102</v>
      </c>
      <c r="BK30" t="s">
        <v>103</v>
      </c>
      <c r="BL30" t="s">
        <v>102</v>
      </c>
      <c r="BM30" t="s">
        <v>789</v>
      </c>
      <c r="BN30">
        <v>39186255</v>
      </c>
      <c r="BO30" t="s">
        <v>74</v>
      </c>
      <c r="BP30" t="s">
        <v>74</v>
      </c>
      <c r="BQ30" t="s">
        <v>74</v>
      </c>
      <c r="BR30" t="s">
        <v>106</v>
      </c>
      <c r="BS30" t="s">
        <v>790</v>
      </c>
      <c r="BT30" t="str">
        <f>HYPERLINK("https%3A%2F%2Fwww.webofscience.com%2Fwos%2Fwoscc%2Ffull-record%2FWOS:001300386100001","View Full Record in Web of Science")</f>
        <v>View Full Record in Web of Science</v>
      </c>
    </row>
    <row r="31" spans="1:72" x14ac:dyDescent="0.15">
      <c r="A31" t="s">
        <v>72</v>
      </c>
      <c r="B31" t="s">
        <v>791</v>
      </c>
      <c r="C31" t="s">
        <v>74</v>
      </c>
      <c r="D31" t="s">
        <v>74</v>
      </c>
      <c r="E31" t="s">
        <v>74</v>
      </c>
      <c r="F31" t="s">
        <v>792</v>
      </c>
      <c r="G31" t="s">
        <v>74</v>
      </c>
      <c r="H31" t="s">
        <v>74</v>
      </c>
      <c r="I31" t="s">
        <v>793</v>
      </c>
      <c r="J31" t="s">
        <v>479</v>
      </c>
      <c r="K31" t="s">
        <v>74</v>
      </c>
      <c r="L31" t="s">
        <v>74</v>
      </c>
      <c r="M31" t="s">
        <v>78</v>
      </c>
      <c r="N31" t="s">
        <v>79</v>
      </c>
      <c r="O31" t="s">
        <v>74</v>
      </c>
      <c r="P31" t="s">
        <v>74</v>
      </c>
      <c r="Q31" t="s">
        <v>74</v>
      </c>
      <c r="R31" t="s">
        <v>74</v>
      </c>
      <c r="S31" t="s">
        <v>74</v>
      </c>
      <c r="T31" t="s">
        <v>74</v>
      </c>
      <c r="U31" t="s">
        <v>794</v>
      </c>
      <c r="V31" t="s">
        <v>795</v>
      </c>
      <c r="W31" t="s">
        <v>796</v>
      </c>
      <c r="X31" t="s">
        <v>797</v>
      </c>
      <c r="Y31" t="s">
        <v>458</v>
      </c>
      <c r="Z31" t="s">
        <v>459</v>
      </c>
      <c r="AA31" t="s">
        <v>74</v>
      </c>
      <c r="AB31" t="s">
        <v>798</v>
      </c>
      <c r="AC31" t="s">
        <v>799</v>
      </c>
      <c r="AD31" t="s">
        <v>800</v>
      </c>
      <c r="AE31" t="s">
        <v>801</v>
      </c>
      <c r="AF31" t="s">
        <v>74</v>
      </c>
      <c r="AG31">
        <v>84</v>
      </c>
      <c r="AH31">
        <v>4</v>
      </c>
      <c r="AI31">
        <v>4</v>
      </c>
      <c r="AJ31">
        <v>2</v>
      </c>
      <c r="AK31">
        <v>7</v>
      </c>
      <c r="AL31" t="s">
        <v>491</v>
      </c>
      <c r="AM31" t="s">
        <v>124</v>
      </c>
      <c r="AN31" t="s">
        <v>492</v>
      </c>
      <c r="AO31" t="s">
        <v>493</v>
      </c>
      <c r="AP31" t="s">
        <v>494</v>
      </c>
      <c r="AQ31" t="s">
        <v>74</v>
      </c>
      <c r="AR31" t="s">
        <v>479</v>
      </c>
      <c r="AS31" t="s">
        <v>495</v>
      </c>
      <c r="AT31" t="s">
        <v>802</v>
      </c>
      <c r="AU31">
        <v>2025</v>
      </c>
      <c r="AV31">
        <v>21</v>
      </c>
      <c r="AW31">
        <v>23</v>
      </c>
      <c r="AX31" t="s">
        <v>74</v>
      </c>
      <c r="AY31" t="s">
        <v>74</v>
      </c>
      <c r="AZ31" t="s">
        <v>74</v>
      </c>
      <c r="BA31" t="s">
        <v>74</v>
      </c>
      <c r="BB31">
        <v>4719</v>
      </c>
      <c r="BC31">
        <v>4729</v>
      </c>
      <c r="BD31" t="s">
        <v>74</v>
      </c>
      <c r="BE31" t="s">
        <v>803</v>
      </c>
      <c r="BF31" t="str">
        <f>HYPERLINK("http://dx.doi.org/10.1039/d5sm00339c","http://dx.doi.org/10.1039/d5sm00339c")</f>
        <v>http://dx.doi.org/10.1039/d5sm00339c</v>
      </c>
      <c r="BG31" t="s">
        <v>74</v>
      </c>
      <c r="BH31" t="s">
        <v>804</v>
      </c>
      <c r="BI31">
        <v>11</v>
      </c>
      <c r="BJ31" t="s">
        <v>499</v>
      </c>
      <c r="BK31" t="s">
        <v>103</v>
      </c>
      <c r="BL31" t="s">
        <v>500</v>
      </c>
      <c r="BM31" t="s">
        <v>805</v>
      </c>
      <c r="BN31">
        <v>40400406</v>
      </c>
      <c r="BO31" t="s">
        <v>344</v>
      </c>
      <c r="BP31" t="s">
        <v>74</v>
      </c>
      <c r="BQ31" t="s">
        <v>74</v>
      </c>
      <c r="BR31" t="s">
        <v>106</v>
      </c>
      <c r="BS31" t="s">
        <v>806</v>
      </c>
      <c r="BT31" t="str">
        <f>HYPERLINK("https%3A%2F%2Fwww.webofscience.com%2Fwos%2Fwoscc%2Ffull-record%2FWOS:001492437600001","View Full Record in Web of Science")</f>
        <v>View Full Record in Web of Science</v>
      </c>
    </row>
    <row r="32" spans="1:72" x14ac:dyDescent="0.15">
      <c r="A32" t="s">
        <v>72</v>
      </c>
      <c r="B32" t="s">
        <v>807</v>
      </c>
      <c r="C32" t="s">
        <v>74</v>
      </c>
      <c r="D32" t="s">
        <v>74</v>
      </c>
      <c r="E32" t="s">
        <v>74</v>
      </c>
      <c r="F32" t="s">
        <v>808</v>
      </c>
      <c r="G32" t="s">
        <v>74</v>
      </c>
      <c r="H32" t="s">
        <v>74</v>
      </c>
      <c r="I32" t="s">
        <v>809</v>
      </c>
      <c r="J32" t="s">
        <v>678</v>
      </c>
      <c r="K32" t="s">
        <v>74</v>
      </c>
      <c r="L32" t="s">
        <v>74</v>
      </c>
      <c r="M32" t="s">
        <v>78</v>
      </c>
      <c r="N32" t="s">
        <v>79</v>
      </c>
      <c r="O32" t="s">
        <v>74</v>
      </c>
      <c r="P32" t="s">
        <v>74</v>
      </c>
      <c r="Q32" t="s">
        <v>74</v>
      </c>
      <c r="R32" t="s">
        <v>74</v>
      </c>
      <c r="S32" t="s">
        <v>74</v>
      </c>
      <c r="T32" t="s">
        <v>810</v>
      </c>
      <c r="U32" t="s">
        <v>74</v>
      </c>
      <c r="V32" t="s">
        <v>811</v>
      </c>
      <c r="W32" t="s">
        <v>812</v>
      </c>
      <c r="X32" t="s">
        <v>354</v>
      </c>
      <c r="Y32" t="s">
        <v>813</v>
      </c>
      <c r="Z32" t="s">
        <v>173</v>
      </c>
      <c r="AA32" t="s">
        <v>814</v>
      </c>
      <c r="AB32" t="s">
        <v>815</v>
      </c>
      <c r="AC32" t="s">
        <v>816</v>
      </c>
      <c r="AD32" t="s">
        <v>817</v>
      </c>
      <c r="AE32" t="s">
        <v>818</v>
      </c>
      <c r="AF32" t="s">
        <v>74</v>
      </c>
      <c r="AG32">
        <v>54</v>
      </c>
      <c r="AH32">
        <v>21</v>
      </c>
      <c r="AI32">
        <v>22</v>
      </c>
      <c r="AJ32">
        <v>30</v>
      </c>
      <c r="AK32">
        <v>142</v>
      </c>
      <c r="AL32" t="s">
        <v>179</v>
      </c>
      <c r="AM32" t="s">
        <v>180</v>
      </c>
      <c r="AN32" t="s">
        <v>181</v>
      </c>
      <c r="AO32" t="s">
        <v>689</v>
      </c>
      <c r="AP32" t="s">
        <v>690</v>
      </c>
      <c r="AQ32" t="s">
        <v>74</v>
      </c>
      <c r="AR32" t="s">
        <v>691</v>
      </c>
      <c r="AS32" t="s">
        <v>692</v>
      </c>
      <c r="AT32" t="s">
        <v>819</v>
      </c>
      <c r="AU32">
        <v>2025</v>
      </c>
      <c r="AV32">
        <v>35</v>
      </c>
      <c r="AW32">
        <v>4</v>
      </c>
      <c r="AX32" t="s">
        <v>74</v>
      </c>
      <c r="AY32" t="s">
        <v>74</v>
      </c>
      <c r="AZ32" t="s">
        <v>74</v>
      </c>
      <c r="BA32" t="s">
        <v>74</v>
      </c>
      <c r="BB32" t="s">
        <v>74</v>
      </c>
      <c r="BC32" t="s">
        <v>74</v>
      </c>
      <c r="BD32" t="s">
        <v>74</v>
      </c>
      <c r="BE32" t="s">
        <v>820</v>
      </c>
      <c r="BF32" t="str">
        <f>HYPERLINK("http://dx.doi.org/10.1002/adfm.202413965","http://dx.doi.org/10.1002/adfm.202413965")</f>
        <v>http://dx.doi.org/10.1002/adfm.202413965</v>
      </c>
      <c r="BG32" t="s">
        <v>74</v>
      </c>
      <c r="BH32" t="s">
        <v>498</v>
      </c>
      <c r="BI32">
        <v>12</v>
      </c>
      <c r="BJ32" t="s">
        <v>605</v>
      </c>
      <c r="BK32" t="s">
        <v>103</v>
      </c>
      <c r="BL32" t="s">
        <v>606</v>
      </c>
      <c r="BM32" t="s">
        <v>821</v>
      </c>
      <c r="BN32" t="s">
        <v>74</v>
      </c>
      <c r="BO32" t="s">
        <v>344</v>
      </c>
      <c r="BP32" t="s">
        <v>74</v>
      </c>
      <c r="BQ32" t="s">
        <v>74</v>
      </c>
      <c r="BR32" t="s">
        <v>106</v>
      </c>
      <c r="BS32" t="s">
        <v>822</v>
      </c>
      <c r="BT32" t="str">
        <f>HYPERLINK("https%3A%2F%2Fwww.webofscience.com%2Fwos%2Fwoscc%2Ffull-record%2FWOS:001336348300001","View Full Record in Web of Science")</f>
        <v>View Full Record in Web of Science</v>
      </c>
    </row>
    <row r="33" spans="1:72" x14ac:dyDescent="0.15">
      <c r="A33" t="s">
        <v>72</v>
      </c>
      <c r="B33" t="s">
        <v>823</v>
      </c>
      <c r="C33" t="s">
        <v>74</v>
      </c>
      <c r="D33" t="s">
        <v>74</v>
      </c>
      <c r="E33" t="s">
        <v>74</v>
      </c>
      <c r="F33" t="s">
        <v>824</v>
      </c>
      <c r="G33" t="s">
        <v>74</v>
      </c>
      <c r="H33" t="s">
        <v>74</v>
      </c>
      <c r="I33" t="s">
        <v>825</v>
      </c>
      <c r="J33" t="s">
        <v>587</v>
      </c>
      <c r="K33" t="s">
        <v>74</v>
      </c>
      <c r="L33" t="s">
        <v>74</v>
      </c>
      <c r="M33" t="s">
        <v>78</v>
      </c>
      <c r="N33" t="s">
        <v>79</v>
      </c>
      <c r="O33" t="s">
        <v>74</v>
      </c>
      <c r="P33" t="s">
        <v>74</v>
      </c>
      <c r="Q33" t="s">
        <v>74</v>
      </c>
      <c r="R33" t="s">
        <v>74</v>
      </c>
      <c r="S33" t="s">
        <v>74</v>
      </c>
      <c r="T33" t="s">
        <v>826</v>
      </c>
      <c r="U33" t="s">
        <v>827</v>
      </c>
      <c r="V33" t="s">
        <v>828</v>
      </c>
      <c r="W33" t="s">
        <v>829</v>
      </c>
      <c r="X33" t="s">
        <v>354</v>
      </c>
      <c r="Y33" t="s">
        <v>813</v>
      </c>
      <c r="Z33" t="s">
        <v>173</v>
      </c>
      <c r="AA33" t="s">
        <v>830</v>
      </c>
      <c r="AB33" t="s">
        <v>831</v>
      </c>
      <c r="AC33" t="s">
        <v>832</v>
      </c>
      <c r="AD33" t="s">
        <v>833</v>
      </c>
      <c r="AE33" t="s">
        <v>834</v>
      </c>
      <c r="AF33" t="s">
        <v>74</v>
      </c>
      <c r="AG33">
        <v>50</v>
      </c>
      <c r="AH33">
        <v>11</v>
      </c>
      <c r="AI33">
        <v>11</v>
      </c>
      <c r="AJ33">
        <v>40</v>
      </c>
      <c r="AK33">
        <v>98</v>
      </c>
      <c r="AL33" t="s">
        <v>179</v>
      </c>
      <c r="AM33" t="s">
        <v>180</v>
      </c>
      <c r="AN33" t="s">
        <v>181</v>
      </c>
      <c r="AO33" t="s">
        <v>598</v>
      </c>
      <c r="AP33" t="s">
        <v>599</v>
      </c>
      <c r="AQ33" t="s">
        <v>74</v>
      </c>
      <c r="AR33" t="s">
        <v>600</v>
      </c>
      <c r="AS33" t="s">
        <v>601</v>
      </c>
      <c r="AT33" t="s">
        <v>835</v>
      </c>
      <c r="AU33">
        <v>2025</v>
      </c>
      <c r="AV33">
        <v>37</v>
      </c>
      <c r="AW33">
        <v>34</v>
      </c>
      <c r="AX33" t="s">
        <v>74</v>
      </c>
      <c r="AY33" t="s">
        <v>74</v>
      </c>
      <c r="AZ33" t="s">
        <v>74</v>
      </c>
      <c r="BA33" t="s">
        <v>74</v>
      </c>
      <c r="BB33" t="s">
        <v>74</v>
      </c>
      <c r="BC33" t="s">
        <v>74</v>
      </c>
      <c r="BD33" t="s">
        <v>74</v>
      </c>
      <c r="BE33" t="s">
        <v>836</v>
      </c>
      <c r="BF33" t="str">
        <f>HYPERLINK("http://dx.doi.org/10.1002/adma.202504461","http://dx.doi.org/10.1002/adma.202504461")</f>
        <v>http://dx.doi.org/10.1002/adma.202504461</v>
      </c>
      <c r="BG33" t="s">
        <v>74</v>
      </c>
      <c r="BH33" t="s">
        <v>694</v>
      </c>
      <c r="BI33">
        <v>11</v>
      </c>
      <c r="BJ33" t="s">
        <v>605</v>
      </c>
      <c r="BK33" t="s">
        <v>103</v>
      </c>
      <c r="BL33" t="s">
        <v>606</v>
      </c>
      <c r="BM33" t="s">
        <v>837</v>
      </c>
      <c r="BN33">
        <v>40492957</v>
      </c>
      <c r="BO33" t="s">
        <v>136</v>
      </c>
      <c r="BP33" t="s">
        <v>74</v>
      </c>
      <c r="BQ33" t="s">
        <v>74</v>
      </c>
      <c r="BR33" t="s">
        <v>106</v>
      </c>
      <c r="BS33" t="s">
        <v>838</v>
      </c>
      <c r="BT33" t="str">
        <f>HYPERLINK("https%3A%2F%2Fwww.webofscience.com%2Fwos%2Fwoscc%2Ffull-record%2FWOS:001506059500001","View Full Record in Web of Science")</f>
        <v>View Full Record in Web of Science</v>
      </c>
    </row>
    <row r="34" spans="1:72" x14ac:dyDescent="0.15">
      <c r="A34" t="s">
        <v>72</v>
      </c>
      <c r="B34" t="s">
        <v>839</v>
      </c>
      <c r="C34" t="s">
        <v>74</v>
      </c>
      <c r="D34" t="s">
        <v>74</v>
      </c>
      <c r="E34" t="s">
        <v>74</v>
      </c>
      <c r="F34" t="s">
        <v>840</v>
      </c>
      <c r="G34" t="s">
        <v>74</v>
      </c>
      <c r="H34" t="s">
        <v>74</v>
      </c>
      <c r="I34" t="s">
        <v>841</v>
      </c>
      <c r="J34" t="s">
        <v>842</v>
      </c>
      <c r="K34" t="s">
        <v>74</v>
      </c>
      <c r="L34" t="s">
        <v>74</v>
      </c>
      <c r="M34" t="s">
        <v>78</v>
      </c>
      <c r="N34" t="s">
        <v>79</v>
      </c>
      <c r="O34" t="s">
        <v>74</v>
      </c>
      <c r="P34" t="s">
        <v>74</v>
      </c>
      <c r="Q34" t="s">
        <v>74</v>
      </c>
      <c r="R34" t="s">
        <v>74</v>
      </c>
      <c r="S34" t="s">
        <v>74</v>
      </c>
      <c r="T34" t="s">
        <v>74</v>
      </c>
      <c r="U34" t="s">
        <v>843</v>
      </c>
      <c r="V34" t="s">
        <v>844</v>
      </c>
      <c r="W34" t="s">
        <v>845</v>
      </c>
      <c r="X34" t="s">
        <v>284</v>
      </c>
      <c r="Y34" t="s">
        <v>846</v>
      </c>
      <c r="Z34" t="s">
        <v>847</v>
      </c>
      <c r="AA34" t="s">
        <v>848</v>
      </c>
      <c r="AB34" t="s">
        <v>849</v>
      </c>
      <c r="AC34" t="s">
        <v>850</v>
      </c>
      <c r="AD34" t="s">
        <v>851</v>
      </c>
      <c r="AE34" t="s">
        <v>852</v>
      </c>
      <c r="AF34" t="s">
        <v>74</v>
      </c>
      <c r="AG34">
        <v>55</v>
      </c>
      <c r="AH34">
        <v>2</v>
      </c>
      <c r="AI34">
        <v>2</v>
      </c>
      <c r="AJ34">
        <v>5</v>
      </c>
      <c r="AK34">
        <v>5</v>
      </c>
      <c r="AL34" t="s">
        <v>152</v>
      </c>
      <c r="AM34" t="s">
        <v>153</v>
      </c>
      <c r="AN34" t="s">
        <v>154</v>
      </c>
      <c r="AO34" t="s">
        <v>74</v>
      </c>
      <c r="AP34" t="s">
        <v>853</v>
      </c>
      <c r="AQ34" t="s">
        <v>74</v>
      </c>
      <c r="AR34" t="s">
        <v>854</v>
      </c>
      <c r="AS34" t="s">
        <v>855</v>
      </c>
      <c r="AT34" t="s">
        <v>856</v>
      </c>
      <c r="AU34">
        <v>2025</v>
      </c>
      <c r="AV34">
        <v>7</v>
      </c>
      <c r="AW34">
        <v>9</v>
      </c>
      <c r="AX34" t="s">
        <v>74</v>
      </c>
      <c r="AY34" t="s">
        <v>74</v>
      </c>
      <c r="AZ34" t="s">
        <v>74</v>
      </c>
      <c r="BA34" t="s">
        <v>74</v>
      </c>
      <c r="BB34">
        <v>3150</v>
      </c>
      <c r="BC34">
        <v>3158</v>
      </c>
      <c r="BD34" t="s">
        <v>74</v>
      </c>
      <c r="BE34" t="s">
        <v>857</v>
      </c>
      <c r="BF34" t="str">
        <f>HYPERLINK("http://dx.doi.org/10.1021/acsmaterialslett.5c00817","http://dx.doi.org/10.1021/acsmaterialslett.5c00817")</f>
        <v>http://dx.doi.org/10.1021/acsmaterialslett.5c00817</v>
      </c>
      <c r="BG34" t="s">
        <v>74</v>
      </c>
      <c r="BH34" t="s">
        <v>858</v>
      </c>
      <c r="BI34">
        <v>9</v>
      </c>
      <c r="BJ34" t="s">
        <v>368</v>
      </c>
      <c r="BK34" t="s">
        <v>103</v>
      </c>
      <c r="BL34" t="s">
        <v>369</v>
      </c>
      <c r="BM34" t="s">
        <v>859</v>
      </c>
      <c r="BN34">
        <v>40909108</v>
      </c>
      <c r="BO34" t="s">
        <v>136</v>
      </c>
      <c r="BP34" t="s">
        <v>74</v>
      </c>
      <c r="BQ34" t="s">
        <v>74</v>
      </c>
      <c r="BR34" t="s">
        <v>106</v>
      </c>
      <c r="BS34" t="s">
        <v>860</v>
      </c>
      <c r="BT34" t="str">
        <f>HYPERLINK("https%3A%2F%2Fwww.webofscience.com%2Fwos%2Fwoscc%2Ffull-record%2FWOS:001550474400001","View Full Record in Web of Science")</f>
        <v>View Full Record in Web of Science</v>
      </c>
    </row>
    <row r="35" spans="1:72" x14ac:dyDescent="0.15">
      <c r="A35" t="s">
        <v>72</v>
      </c>
      <c r="B35" t="s">
        <v>861</v>
      </c>
      <c r="C35" t="s">
        <v>74</v>
      </c>
      <c r="D35" t="s">
        <v>74</v>
      </c>
      <c r="E35" t="s">
        <v>74</v>
      </c>
      <c r="F35" t="s">
        <v>862</v>
      </c>
      <c r="G35" t="s">
        <v>74</v>
      </c>
      <c r="H35" t="s">
        <v>74</v>
      </c>
      <c r="I35" t="s">
        <v>863</v>
      </c>
      <c r="J35" t="s">
        <v>864</v>
      </c>
      <c r="K35" t="s">
        <v>74</v>
      </c>
      <c r="L35" t="s">
        <v>74</v>
      </c>
      <c r="M35" t="s">
        <v>78</v>
      </c>
      <c r="N35" t="s">
        <v>79</v>
      </c>
      <c r="O35" t="s">
        <v>74</v>
      </c>
      <c r="P35" t="s">
        <v>74</v>
      </c>
      <c r="Q35" t="s">
        <v>74</v>
      </c>
      <c r="R35" t="s">
        <v>74</v>
      </c>
      <c r="S35" t="s">
        <v>74</v>
      </c>
      <c r="T35" t="s">
        <v>865</v>
      </c>
      <c r="U35" t="s">
        <v>866</v>
      </c>
      <c r="V35" t="s">
        <v>867</v>
      </c>
      <c r="W35" t="s">
        <v>868</v>
      </c>
      <c r="X35" t="s">
        <v>354</v>
      </c>
      <c r="Y35" t="s">
        <v>869</v>
      </c>
      <c r="Z35" t="s">
        <v>870</v>
      </c>
      <c r="AA35" t="s">
        <v>74</v>
      </c>
      <c r="AB35" t="s">
        <v>871</v>
      </c>
      <c r="AC35" t="s">
        <v>872</v>
      </c>
      <c r="AD35" t="s">
        <v>873</v>
      </c>
      <c r="AE35" t="s">
        <v>874</v>
      </c>
      <c r="AF35" t="s">
        <v>74</v>
      </c>
      <c r="AG35">
        <v>77</v>
      </c>
      <c r="AH35">
        <v>1</v>
      </c>
      <c r="AI35">
        <v>1</v>
      </c>
      <c r="AJ35">
        <v>1</v>
      </c>
      <c r="AK35">
        <v>11</v>
      </c>
      <c r="AL35" t="s">
        <v>179</v>
      </c>
      <c r="AM35" t="s">
        <v>180</v>
      </c>
      <c r="AN35" t="s">
        <v>181</v>
      </c>
      <c r="AO35" t="s">
        <v>875</v>
      </c>
      <c r="AP35" t="s">
        <v>876</v>
      </c>
      <c r="AQ35" t="s">
        <v>74</v>
      </c>
      <c r="AR35" t="s">
        <v>864</v>
      </c>
      <c r="AS35" t="s">
        <v>877</v>
      </c>
      <c r="AT35" t="s">
        <v>878</v>
      </c>
      <c r="AU35">
        <v>2025</v>
      </c>
      <c r="AV35">
        <v>26</v>
      </c>
      <c r="AW35">
        <v>12</v>
      </c>
      <c r="AX35" t="s">
        <v>74</v>
      </c>
      <c r="AY35" t="s">
        <v>74</v>
      </c>
      <c r="AZ35" t="s">
        <v>74</v>
      </c>
      <c r="BA35" t="s">
        <v>74</v>
      </c>
      <c r="BB35" t="s">
        <v>74</v>
      </c>
      <c r="BC35" t="s">
        <v>74</v>
      </c>
      <c r="BD35" t="s">
        <v>74</v>
      </c>
      <c r="BE35" t="s">
        <v>879</v>
      </c>
      <c r="BF35" t="str">
        <f>HYPERLINK("http://dx.doi.org/10.1002/cbic.202400834","http://dx.doi.org/10.1002/cbic.202400834")</f>
        <v>http://dx.doi.org/10.1002/cbic.202400834</v>
      </c>
      <c r="BG35" t="s">
        <v>74</v>
      </c>
      <c r="BH35" t="s">
        <v>421</v>
      </c>
      <c r="BI35">
        <v>8</v>
      </c>
      <c r="BJ35" t="s">
        <v>880</v>
      </c>
      <c r="BK35" t="s">
        <v>103</v>
      </c>
      <c r="BL35" t="s">
        <v>881</v>
      </c>
      <c r="BM35" t="s">
        <v>882</v>
      </c>
      <c r="BN35">
        <v>40021488</v>
      </c>
      <c r="BO35" t="s">
        <v>136</v>
      </c>
      <c r="BP35" t="s">
        <v>74</v>
      </c>
      <c r="BQ35" t="s">
        <v>74</v>
      </c>
      <c r="BR35" t="s">
        <v>106</v>
      </c>
      <c r="BS35" t="s">
        <v>883</v>
      </c>
      <c r="BT35" t="str">
        <f>HYPERLINK("https%3A%2F%2Fwww.webofscience.com%2Fwos%2Fwoscc%2Ffull-record%2FWOS:001448737900001","View Full Record in Web of Science")</f>
        <v>View Full Record in Web of Science</v>
      </c>
    </row>
    <row r="36" spans="1:72" x14ac:dyDescent="0.15">
      <c r="A36" t="s">
        <v>72</v>
      </c>
      <c r="B36" t="s">
        <v>884</v>
      </c>
      <c r="C36" t="s">
        <v>74</v>
      </c>
      <c r="D36" t="s">
        <v>74</v>
      </c>
      <c r="E36" t="s">
        <v>74</v>
      </c>
      <c r="F36" t="s">
        <v>885</v>
      </c>
      <c r="G36" t="s">
        <v>74</v>
      </c>
      <c r="H36" t="s">
        <v>74</v>
      </c>
      <c r="I36" t="s">
        <v>886</v>
      </c>
      <c r="J36" t="s">
        <v>887</v>
      </c>
      <c r="K36" t="s">
        <v>74</v>
      </c>
      <c r="L36" t="s">
        <v>74</v>
      </c>
      <c r="M36" t="s">
        <v>78</v>
      </c>
      <c r="N36" t="s">
        <v>79</v>
      </c>
      <c r="O36" t="s">
        <v>74</v>
      </c>
      <c r="P36" t="s">
        <v>74</v>
      </c>
      <c r="Q36" t="s">
        <v>74</v>
      </c>
      <c r="R36" t="s">
        <v>74</v>
      </c>
      <c r="S36" t="s">
        <v>74</v>
      </c>
      <c r="T36" t="s">
        <v>74</v>
      </c>
      <c r="U36" t="s">
        <v>888</v>
      </c>
      <c r="V36" t="s">
        <v>889</v>
      </c>
      <c r="W36" t="s">
        <v>890</v>
      </c>
      <c r="X36" t="s">
        <v>891</v>
      </c>
      <c r="Y36" t="s">
        <v>892</v>
      </c>
      <c r="Z36" t="s">
        <v>893</v>
      </c>
      <c r="AA36" t="s">
        <v>74</v>
      </c>
      <c r="AB36" t="s">
        <v>894</v>
      </c>
      <c r="AC36" t="s">
        <v>895</v>
      </c>
      <c r="AD36" t="s">
        <v>896</v>
      </c>
      <c r="AE36" t="s">
        <v>897</v>
      </c>
      <c r="AF36" t="s">
        <v>74</v>
      </c>
      <c r="AG36">
        <v>90</v>
      </c>
      <c r="AH36">
        <v>6</v>
      </c>
      <c r="AI36">
        <v>9</v>
      </c>
      <c r="AJ36">
        <v>4</v>
      </c>
      <c r="AK36">
        <v>11</v>
      </c>
      <c r="AL36" t="s">
        <v>898</v>
      </c>
      <c r="AM36" t="s">
        <v>124</v>
      </c>
      <c r="AN36" t="s">
        <v>899</v>
      </c>
      <c r="AO36" t="s">
        <v>900</v>
      </c>
      <c r="AP36" t="s">
        <v>901</v>
      </c>
      <c r="AQ36" t="s">
        <v>74</v>
      </c>
      <c r="AR36" t="s">
        <v>902</v>
      </c>
      <c r="AS36" t="s">
        <v>903</v>
      </c>
      <c r="AT36" t="s">
        <v>904</v>
      </c>
      <c r="AU36">
        <v>2024</v>
      </c>
      <c r="AV36">
        <v>15</v>
      </c>
      <c r="AW36">
        <v>7</v>
      </c>
      <c r="AX36" t="s">
        <v>74</v>
      </c>
      <c r="AY36" t="s">
        <v>74</v>
      </c>
      <c r="AZ36" t="s">
        <v>74</v>
      </c>
      <c r="BA36" t="s">
        <v>74</v>
      </c>
      <c r="BB36" t="s">
        <v>74</v>
      </c>
      <c r="BC36" t="s">
        <v>74</v>
      </c>
      <c r="BD36" t="s">
        <v>74</v>
      </c>
      <c r="BE36" t="s">
        <v>905</v>
      </c>
      <c r="BF36" t="str">
        <f>HYPERLINK("http://dx.doi.org/10.1016/j.cels.2024.06.004","http://dx.doi.org/10.1016/j.cels.2024.06.004")</f>
        <v>http://dx.doi.org/10.1016/j.cels.2024.06.004</v>
      </c>
      <c r="BG36" t="s">
        <v>74</v>
      </c>
      <c r="BH36" t="s">
        <v>208</v>
      </c>
      <c r="BI36">
        <v>23</v>
      </c>
      <c r="BJ36" t="s">
        <v>906</v>
      </c>
      <c r="BK36" t="s">
        <v>103</v>
      </c>
      <c r="BL36" t="s">
        <v>906</v>
      </c>
      <c r="BM36" t="s">
        <v>907</v>
      </c>
      <c r="BN36">
        <v>38981488</v>
      </c>
      <c r="BO36" t="s">
        <v>908</v>
      </c>
      <c r="BP36" t="s">
        <v>74</v>
      </c>
      <c r="BQ36" t="s">
        <v>74</v>
      </c>
      <c r="BR36" t="s">
        <v>106</v>
      </c>
      <c r="BS36" t="s">
        <v>909</v>
      </c>
      <c r="BT36" t="str">
        <f>HYPERLINK("https%3A%2F%2Fwww.webofscience.com%2Fwos%2Fwoscc%2Ffull-record%2FWOS:001273631200001","View Full Record in Web of Science")</f>
        <v>View Full Record in Web of Science</v>
      </c>
    </row>
    <row r="37" spans="1:72" x14ac:dyDescent="0.15">
      <c r="A37" t="s">
        <v>72</v>
      </c>
      <c r="B37" t="s">
        <v>910</v>
      </c>
      <c r="C37" t="s">
        <v>74</v>
      </c>
      <c r="D37" t="s">
        <v>74</v>
      </c>
      <c r="E37" t="s">
        <v>74</v>
      </c>
      <c r="F37" t="s">
        <v>911</v>
      </c>
      <c r="G37" t="s">
        <v>74</v>
      </c>
      <c r="H37" t="s">
        <v>74</v>
      </c>
      <c r="I37" t="s">
        <v>912</v>
      </c>
      <c r="J37" t="s">
        <v>913</v>
      </c>
      <c r="K37" t="s">
        <v>74</v>
      </c>
      <c r="L37" t="s">
        <v>74</v>
      </c>
      <c r="M37" t="s">
        <v>78</v>
      </c>
      <c r="N37" t="s">
        <v>79</v>
      </c>
      <c r="O37" t="s">
        <v>74</v>
      </c>
      <c r="P37" t="s">
        <v>74</v>
      </c>
      <c r="Q37" t="s">
        <v>74</v>
      </c>
      <c r="R37" t="s">
        <v>74</v>
      </c>
      <c r="S37" t="s">
        <v>74</v>
      </c>
      <c r="T37" t="s">
        <v>74</v>
      </c>
      <c r="U37" t="s">
        <v>914</v>
      </c>
      <c r="V37" t="s">
        <v>915</v>
      </c>
      <c r="W37" t="s">
        <v>916</v>
      </c>
      <c r="X37" t="s">
        <v>917</v>
      </c>
      <c r="Y37" t="s">
        <v>918</v>
      </c>
      <c r="Z37" t="s">
        <v>919</v>
      </c>
      <c r="AA37" t="s">
        <v>920</v>
      </c>
      <c r="AB37" t="s">
        <v>921</v>
      </c>
      <c r="AC37" t="s">
        <v>922</v>
      </c>
      <c r="AD37" t="s">
        <v>923</v>
      </c>
      <c r="AE37" t="s">
        <v>924</v>
      </c>
      <c r="AF37" t="s">
        <v>74</v>
      </c>
      <c r="AG37">
        <v>53</v>
      </c>
      <c r="AH37">
        <v>17</v>
      </c>
      <c r="AI37">
        <v>17</v>
      </c>
      <c r="AJ37">
        <v>10</v>
      </c>
      <c r="AK37">
        <v>53</v>
      </c>
      <c r="AL37" t="s">
        <v>898</v>
      </c>
      <c r="AM37" t="s">
        <v>124</v>
      </c>
      <c r="AN37" t="s">
        <v>899</v>
      </c>
      <c r="AO37" t="s">
        <v>925</v>
      </c>
      <c r="AP37" t="s">
        <v>74</v>
      </c>
      <c r="AQ37" t="s">
        <v>74</v>
      </c>
      <c r="AR37" t="s">
        <v>913</v>
      </c>
      <c r="AS37" t="s">
        <v>926</v>
      </c>
      <c r="AT37" t="s">
        <v>927</v>
      </c>
      <c r="AU37">
        <v>2025</v>
      </c>
      <c r="AV37">
        <v>9</v>
      </c>
      <c r="AW37">
        <v>2</v>
      </c>
      <c r="AX37" t="s">
        <v>74</v>
      </c>
      <c r="AY37" t="s">
        <v>74</v>
      </c>
      <c r="AZ37" t="s">
        <v>74</v>
      </c>
      <c r="BA37" t="s">
        <v>74</v>
      </c>
      <c r="BB37" t="s">
        <v>74</v>
      </c>
      <c r="BC37" t="s">
        <v>74</v>
      </c>
      <c r="BD37">
        <v>101789</v>
      </c>
      <c r="BE37" t="s">
        <v>928</v>
      </c>
      <c r="BF37" t="str">
        <f>HYPERLINK("http://dx.doi.org/10.1016/j.joule.2024.11.006","http://dx.doi.org/10.1016/j.joule.2024.11.006")</f>
        <v>http://dx.doi.org/10.1016/j.joule.2024.11.006</v>
      </c>
      <c r="BG37" t="s">
        <v>74</v>
      </c>
      <c r="BH37" t="s">
        <v>274</v>
      </c>
      <c r="BI37">
        <v>13</v>
      </c>
      <c r="BJ37" t="s">
        <v>929</v>
      </c>
      <c r="BK37" t="s">
        <v>103</v>
      </c>
      <c r="BL37" t="s">
        <v>930</v>
      </c>
      <c r="BM37" t="s">
        <v>931</v>
      </c>
      <c r="BN37" t="s">
        <v>74</v>
      </c>
      <c r="BO37" t="s">
        <v>105</v>
      </c>
      <c r="BP37" t="s">
        <v>74</v>
      </c>
      <c r="BQ37" t="s">
        <v>74</v>
      </c>
      <c r="BR37" t="s">
        <v>106</v>
      </c>
      <c r="BS37" t="s">
        <v>932</v>
      </c>
      <c r="BT37" t="str">
        <f>HYPERLINK("https%3A%2F%2Fwww.webofscience.com%2Fwos%2Fwoscc%2Ffull-record%2FWOS:001430976100001","View Full Record in Web of Science")</f>
        <v>View Full Record in Web of Science</v>
      </c>
    </row>
    <row r="38" spans="1:72" x14ac:dyDescent="0.15">
      <c r="A38" t="s">
        <v>72</v>
      </c>
      <c r="B38" t="s">
        <v>933</v>
      </c>
      <c r="C38" t="s">
        <v>74</v>
      </c>
      <c r="D38" t="s">
        <v>74</v>
      </c>
      <c r="E38" t="s">
        <v>74</v>
      </c>
      <c r="F38" t="s">
        <v>934</v>
      </c>
      <c r="G38" t="s">
        <v>74</v>
      </c>
      <c r="H38" t="s">
        <v>74</v>
      </c>
      <c r="I38" t="s">
        <v>935</v>
      </c>
      <c r="J38" t="s">
        <v>141</v>
      </c>
      <c r="K38" t="s">
        <v>74</v>
      </c>
      <c r="L38" t="s">
        <v>74</v>
      </c>
      <c r="M38" t="s">
        <v>78</v>
      </c>
      <c r="N38" t="s">
        <v>79</v>
      </c>
      <c r="O38" t="s">
        <v>74</v>
      </c>
      <c r="P38" t="s">
        <v>74</v>
      </c>
      <c r="Q38" t="s">
        <v>74</v>
      </c>
      <c r="R38" t="s">
        <v>74</v>
      </c>
      <c r="S38" t="s">
        <v>74</v>
      </c>
      <c r="T38" t="s">
        <v>74</v>
      </c>
      <c r="U38" t="s">
        <v>936</v>
      </c>
      <c r="V38" t="s">
        <v>937</v>
      </c>
      <c r="W38" t="s">
        <v>938</v>
      </c>
      <c r="X38" t="s">
        <v>939</v>
      </c>
      <c r="Y38" t="s">
        <v>940</v>
      </c>
      <c r="Z38" t="s">
        <v>941</v>
      </c>
      <c r="AA38" t="s">
        <v>74</v>
      </c>
      <c r="AB38" t="s">
        <v>942</v>
      </c>
      <c r="AC38" t="s">
        <v>943</v>
      </c>
      <c r="AD38" t="s">
        <v>944</v>
      </c>
      <c r="AE38" t="s">
        <v>945</v>
      </c>
      <c r="AF38" t="s">
        <v>74</v>
      </c>
      <c r="AG38">
        <v>67</v>
      </c>
      <c r="AH38">
        <v>11</v>
      </c>
      <c r="AI38">
        <v>12</v>
      </c>
      <c r="AJ38">
        <v>3</v>
      </c>
      <c r="AK38">
        <v>20</v>
      </c>
      <c r="AL38" t="s">
        <v>152</v>
      </c>
      <c r="AM38" t="s">
        <v>153</v>
      </c>
      <c r="AN38" t="s">
        <v>154</v>
      </c>
      <c r="AO38" t="s">
        <v>155</v>
      </c>
      <c r="AP38" t="s">
        <v>156</v>
      </c>
      <c r="AQ38" t="s">
        <v>74</v>
      </c>
      <c r="AR38" t="s">
        <v>141</v>
      </c>
      <c r="AS38" t="s">
        <v>157</v>
      </c>
      <c r="AT38" t="s">
        <v>946</v>
      </c>
      <c r="AU38">
        <v>2024</v>
      </c>
      <c r="AV38">
        <v>57</v>
      </c>
      <c r="AW38">
        <v>17</v>
      </c>
      <c r="AX38" t="s">
        <v>74</v>
      </c>
      <c r="AY38" t="s">
        <v>74</v>
      </c>
      <c r="AZ38" t="s">
        <v>74</v>
      </c>
      <c r="BA38" t="s">
        <v>74</v>
      </c>
      <c r="BB38">
        <v>8487</v>
      </c>
      <c r="BC38">
        <v>8497</v>
      </c>
      <c r="BD38" t="s">
        <v>74</v>
      </c>
      <c r="BE38" t="s">
        <v>947</v>
      </c>
      <c r="BF38" t="str">
        <f>HYPERLINK("http://dx.doi.org/10.1021/acs.macromol.4c00752","http://dx.doi.org/10.1021/acs.macromol.4c00752")</f>
        <v>http://dx.doi.org/10.1021/acs.macromol.4c00752</v>
      </c>
      <c r="BG38" t="s">
        <v>74</v>
      </c>
      <c r="BH38" t="s">
        <v>788</v>
      </c>
      <c r="BI38">
        <v>11</v>
      </c>
      <c r="BJ38" t="s">
        <v>102</v>
      </c>
      <c r="BK38" t="s">
        <v>103</v>
      </c>
      <c r="BL38" t="s">
        <v>102</v>
      </c>
      <c r="BM38" t="s">
        <v>948</v>
      </c>
      <c r="BN38">
        <v>39281839</v>
      </c>
      <c r="BO38" t="s">
        <v>136</v>
      </c>
      <c r="BP38" t="s">
        <v>74</v>
      </c>
      <c r="BQ38" t="s">
        <v>74</v>
      </c>
      <c r="BR38" t="s">
        <v>106</v>
      </c>
      <c r="BS38" t="s">
        <v>949</v>
      </c>
      <c r="BT38" t="str">
        <f>HYPERLINK("https%3A%2F%2Fwww.webofscience.com%2Fwos%2Fwoscc%2Ffull-record%2FWOS:001295150500001","View Full Record in Web of Science")</f>
        <v>View Full Record in Web of Science</v>
      </c>
    </row>
    <row r="39" spans="1:72" x14ac:dyDescent="0.15">
      <c r="A39" t="s">
        <v>72</v>
      </c>
      <c r="B39" t="s">
        <v>950</v>
      </c>
      <c r="C39" t="s">
        <v>74</v>
      </c>
      <c r="D39" t="s">
        <v>74</v>
      </c>
      <c r="E39" t="s">
        <v>74</v>
      </c>
      <c r="F39" t="s">
        <v>951</v>
      </c>
      <c r="G39" t="s">
        <v>74</v>
      </c>
      <c r="H39" t="s">
        <v>74</v>
      </c>
      <c r="I39" t="s">
        <v>952</v>
      </c>
      <c r="J39" t="s">
        <v>953</v>
      </c>
      <c r="K39" t="s">
        <v>74</v>
      </c>
      <c r="L39" t="s">
        <v>74</v>
      </c>
      <c r="M39" t="s">
        <v>78</v>
      </c>
      <c r="N39" t="s">
        <v>79</v>
      </c>
      <c r="O39" t="s">
        <v>74</v>
      </c>
      <c r="P39" t="s">
        <v>74</v>
      </c>
      <c r="Q39" t="s">
        <v>74</v>
      </c>
      <c r="R39" t="s">
        <v>74</v>
      </c>
      <c r="S39" t="s">
        <v>74</v>
      </c>
      <c r="T39" t="s">
        <v>954</v>
      </c>
      <c r="U39" t="s">
        <v>955</v>
      </c>
      <c r="V39" t="s">
        <v>956</v>
      </c>
      <c r="W39" t="s">
        <v>957</v>
      </c>
      <c r="X39" t="s">
        <v>958</v>
      </c>
      <c r="Y39" t="s">
        <v>959</v>
      </c>
      <c r="Z39" t="s">
        <v>960</v>
      </c>
      <c r="AA39" t="s">
        <v>961</v>
      </c>
      <c r="AB39" t="s">
        <v>962</v>
      </c>
      <c r="AC39" t="s">
        <v>963</v>
      </c>
      <c r="AD39" t="s">
        <v>964</v>
      </c>
      <c r="AE39" t="s">
        <v>965</v>
      </c>
      <c r="AF39" t="s">
        <v>74</v>
      </c>
      <c r="AG39">
        <v>45</v>
      </c>
      <c r="AH39">
        <v>9</v>
      </c>
      <c r="AI39">
        <v>11</v>
      </c>
      <c r="AJ39">
        <v>3</v>
      </c>
      <c r="AK39">
        <v>19</v>
      </c>
      <c r="AL39" t="s">
        <v>966</v>
      </c>
      <c r="AM39" t="s">
        <v>520</v>
      </c>
      <c r="AN39" t="s">
        <v>967</v>
      </c>
      <c r="AO39" t="s">
        <v>968</v>
      </c>
      <c r="AP39" t="s">
        <v>969</v>
      </c>
      <c r="AQ39" t="s">
        <v>74</v>
      </c>
      <c r="AR39" t="s">
        <v>970</v>
      </c>
      <c r="AS39" t="s">
        <v>971</v>
      </c>
      <c r="AT39" t="s">
        <v>185</v>
      </c>
      <c r="AU39">
        <v>2024</v>
      </c>
      <c r="AV39">
        <v>184</v>
      </c>
      <c r="AW39" t="s">
        <v>74</v>
      </c>
      <c r="AX39" t="s">
        <v>74</v>
      </c>
      <c r="AY39" t="s">
        <v>74</v>
      </c>
      <c r="AZ39" t="s">
        <v>74</v>
      </c>
      <c r="BA39" t="s">
        <v>74</v>
      </c>
      <c r="BB39" t="s">
        <v>74</v>
      </c>
      <c r="BC39" t="s">
        <v>74</v>
      </c>
      <c r="BD39">
        <v>105548</v>
      </c>
      <c r="BE39" t="s">
        <v>972</v>
      </c>
      <c r="BF39" t="str">
        <f>HYPERLINK("http://dx.doi.org/10.1016/j.jmps.2024.105548","http://dx.doi.org/10.1016/j.jmps.2024.105548")</f>
        <v>http://dx.doi.org/10.1016/j.jmps.2024.105548</v>
      </c>
      <c r="BG39" t="s">
        <v>74</v>
      </c>
      <c r="BH39" t="s">
        <v>234</v>
      </c>
      <c r="BI39">
        <v>14</v>
      </c>
      <c r="BJ39" t="s">
        <v>973</v>
      </c>
      <c r="BK39" t="s">
        <v>103</v>
      </c>
      <c r="BL39" t="s">
        <v>974</v>
      </c>
      <c r="BM39" t="s">
        <v>975</v>
      </c>
      <c r="BN39" t="s">
        <v>74</v>
      </c>
      <c r="BO39" t="s">
        <v>344</v>
      </c>
      <c r="BP39" t="s">
        <v>74</v>
      </c>
      <c r="BQ39" t="s">
        <v>74</v>
      </c>
      <c r="BR39" t="s">
        <v>106</v>
      </c>
      <c r="BS39" t="s">
        <v>976</v>
      </c>
      <c r="BT39" t="str">
        <f>HYPERLINK("https%3A%2F%2Fwww.webofscience.com%2Fwos%2Fwoscc%2Ffull-record%2FWOS:001168048400001","View Full Record in Web of Science")</f>
        <v>View Full Record in Web of Science</v>
      </c>
    </row>
    <row r="40" spans="1:72" x14ac:dyDescent="0.15">
      <c r="A40" t="s">
        <v>72</v>
      </c>
      <c r="B40" t="s">
        <v>977</v>
      </c>
      <c r="C40" t="s">
        <v>74</v>
      </c>
      <c r="D40" t="s">
        <v>74</v>
      </c>
      <c r="E40" t="s">
        <v>74</v>
      </c>
      <c r="F40" t="s">
        <v>978</v>
      </c>
      <c r="G40" t="s">
        <v>74</v>
      </c>
      <c r="H40" t="s">
        <v>74</v>
      </c>
      <c r="I40" t="s">
        <v>979</v>
      </c>
      <c r="J40" t="s">
        <v>980</v>
      </c>
      <c r="K40" t="s">
        <v>74</v>
      </c>
      <c r="L40" t="s">
        <v>74</v>
      </c>
      <c r="M40" t="s">
        <v>78</v>
      </c>
      <c r="N40" t="s">
        <v>79</v>
      </c>
      <c r="O40" t="s">
        <v>74</v>
      </c>
      <c r="P40" t="s">
        <v>74</v>
      </c>
      <c r="Q40" t="s">
        <v>74</v>
      </c>
      <c r="R40" t="s">
        <v>74</v>
      </c>
      <c r="S40" t="s">
        <v>74</v>
      </c>
      <c r="T40" t="s">
        <v>74</v>
      </c>
      <c r="U40" t="s">
        <v>981</v>
      </c>
      <c r="V40" t="s">
        <v>982</v>
      </c>
      <c r="W40" t="s">
        <v>983</v>
      </c>
      <c r="X40" t="s">
        <v>984</v>
      </c>
      <c r="Y40" t="s">
        <v>985</v>
      </c>
      <c r="Z40" t="s">
        <v>986</v>
      </c>
      <c r="AA40" t="s">
        <v>987</v>
      </c>
      <c r="AB40" t="s">
        <v>988</v>
      </c>
      <c r="AC40" t="s">
        <v>989</v>
      </c>
      <c r="AD40" t="s">
        <v>990</v>
      </c>
      <c r="AE40" t="s">
        <v>991</v>
      </c>
      <c r="AF40" t="s">
        <v>74</v>
      </c>
      <c r="AG40">
        <v>61</v>
      </c>
      <c r="AH40">
        <v>15</v>
      </c>
      <c r="AI40">
        <v>15</v>
      </c>
      <c r="AJ40">
        <v>16</v>
      </c>
      <c r="AK40">
        <v>24</v>
      </c>
      <c r="AL40" t="s">
        <v>992</v>
      </c>
      <c r="AM40" t="s">
        <v>993</v>
      </c>
      <c r="AN40" t="s">
        <v>994</v>
      </c>
      <c r="AO40" t="s">
        <v>74</v>
      </c>
      <c r="AP40" t="s">
        <v>995</v>
      </c>
      <c r="AQ40" t="s">
        <v>74</v>
      </c>
      <c r="AR40" t="s">
        <v>996</v>
      </c>
      <c r="AS40" t="s">
        <v>997</v>
      </c>
      <c r="AT40" t="s">
        <v>998</v>
      </c>
      <c r="AU40">
        <v>2025</v>
      </c>
      <c r="AV40">
        <v>2</v>
      </c>
      <c r="AW40">
        <v>4</v>
      </c>
      <c r="AX40" t="s">
        <v>74</v>
      </c>
      <c r="AY40" t="s">
        <v>74</v>
      </c>
      <c r="AZ40" t="s">
        <v>74</v>
      </c>
      <c r="BA40" t="s">
        <v>74</v>
      </c>
      <c r="BB40">
        <v>252</v>
      </c>
      <c r="BC40">
        <v>260</v>
      </c>
      <c r="BD40" t="s">
        <v>74</v>
      </c>
      <c r="BE40" t="s">
        <v>999</v>
      </c>
      <c r="BF40" t="str">
        <f>HYPERLINK("http://dx.doi.org/10.1038/s44286-025-00205-x","http://dx.doi.org/10.1038/s44286-025-00205-x")</f>
        <v>http://dx.doi.org/10.1038/s44286-025-00205-x</v>
      </c>
      <c r="BG40" t="s">
        <v>74</v>
      </c>
      <c r="BH40" t="s">
        <v>74</v>
      </c>
      <c r="BI40">
        <v>9</v>
      </c>
      <c r="BJ40" t="s">
        <v>1000</v>
      </c>
      <c r="BK40" t="s">
        <v>236</v>
      </c>
      <c r="BL40" t="s">
        <v>396</v>
      </c>
      <c r="BM40" t="s">
        <v>1001</v>
      </c>
      <c r="BN40" t="s">
        <v>74</v>
      </c>
      <c r="BO40" t="s">
        <v>74</v>
      </c>
      <c r="BP40" t="s">
        <v>74</v>
      </c>
      <c r="BQ40" t="s">
        <v>74</v>
      </c>
      <c r="BR40" t="s">
        <v>106</v>
      </c>
      <c r="BS40" t="s">
        <v>1002</v>
      </c>
      <c r="BT40" t="str">
        <f>HYPERLINK("https%3A%2F%2Fwww.webofscience.com%2Fwos%2Fwoscc%2Ffull-record%2FWOS:001550584900002","View Full Record in Web of Science")</f>
        <v>View Full Record in Web of Science</v>
      </c>
    </row>
    <row r="41" spans="1:72" x14ac:dyDescent="0.15">
      <c r="A41" t="s">
        <v>72</v>
      </c>
      <c r="B41" t="s">
        <v>1003</v>
      </c>
      <c r="C41" t="s">
        <v>74</v>
      </c>
      <c r="D41" t="s">
        <v>74</v>
      </c>
      <c r="E41" t="s">
        <v>74</v>
      </c>
      <c r="F41" t="s">
        <v>1004</v>
      </c>
      <c r="G41" t="s">
        <v>74</v>
      </c>
      <c r="H41" t="s">
        <v>74</v>
      </c>
      <c r="I41" t="s">
        <v>1005</v>
      </c>
      <c r="J41" t="s">
        <v>1006</v>
      </c>
      <c r="K41" t="s">
        <v>74</v>
      </c>
      <c r="L41" t="s">
        <v>74</v>
      </c>
      <c r="M41" t="s">
        <v>78</v>
      </c>
      <c r="N41" t="s">
        <v>79</v>
      </c>
      <c r="O41" t="s">
        <v>74</v>
      </c>
      <c r="P41" t="s">
        <v>74</v>
      </c>
      <c r="Q41" t="s">
        <v>74</v>
      </c>
      <c r="R41" t="s">
        <v>74</v>
      </c>
      <c r="S41" t="s">
        <v>74</v>
      </c>
      <c r="T41" t="s">
        <v>74</v>
      </c>
      <c r="U41" t="s">
        <v>1007</v>
      </c>
      <c r="V41" t="s">
        <v>1008</v>
      </c>
      <c r="W41" t="s">
        <v>1009</v>
      </c>
      <c r="X41" t="s">
        <v>354</v>
      </c>
      <c r="Y41" t="s">
        <v>1010</v>
      </c>
      <c r="Z41" t="s">
        <v>1011</v>
      </c>
      <c r="AA41" t="s">
        <v>74</v>
      </c>
      <c r="AB41" t="s">
        <v>1012</v>
      </c>
      <c r="AC41" t="s">
        <v>1013</v>
      </c>
      <c r="AD41" t="s">
        <v>1014</v>
      </c>
      <c r="AE41" t="s">
        <v>1015</v>
      </c>
      <c r="AF41" t="s">
        <v>74</v>
      </c>
      <c r="AG41">
        <v>64</v>
      </c>
      <c r="AH41">
        <v>3</v>
      </c>
      <c r="AI41">
        <v>3</v>
      </c>
      <c r="AJ41">
        <v>0</v>
      </c>
      <c r="AK41">
        <v>3</v>
      </c>
      <c r="AL41" t="s">
        <v>152</v>
      </c>
      <c r="AM41" t="s">
        <v>153</v>
      </c>
      <c r="AN41" t="s">
        <v>154</v>
      </c>
      <c r="AO41" t="s">
        <v>1016</v>
      </c>
      <c r="AP41" t="s">
        <v>1017</v>
      </c>
      <c r="AQ41" t="s">
        <v>74</v>
      </c>
      <c r="AR41" t="s">
        <v>1018</v>
      </c>
      <c r="AS41" t="s">
        <v>1019</v>
      </c>
      <c r="AT41" t="s">
        <v>1020</v>
      </c>
      <c r="AU41">
        <v>2024</v>
      </c>
      <c r="AV41">
        <v>128</v>
      </c>
      <c r="AW41">
        <v>51</v>
      </c>
      <c r="AX41" t="s">
        <v>74</v>
      </c>
      <c r="AY41" t="s">
        <v>74</v>
      </c>
      <c r="AZ41" t="s">
        <v>74</v>
      </c>
      <c r="BA41" t="s">
        <v>74</v>
      </c>
      <c r="BB41">
        <v>12798</v>
      </c>
      <c r="BC41">
        <v>12807</v>
      </c>
      <c r="BD41" t="s">
        <v>74</v>
      </c>
      <c r="BE41" t="s">
        <v>1021</v>
      </c>
      <c r="BF41" t="str">
        <f>HYPERLINK("http://dx.doi.org/10.1021/acs.jpcb.4c06713","http://dx.doi.org/10.1021/acs.jpcb.4c06713")</f>
        <v>http://dx.doi.org/10.1021/acs.jpcb.4c06713</v>
      </c>
      <c r="BG41" t="s">
        <v>74</v>
      </c>
      <c r="BH41" t="s">
        <v>1022</v>
      </c>
      <c r="BI41">
        <v>10</v>
      </c>
      <c r="BJ41" t="s">
        <v>1023</v>
      </c>
      <c r="BK41" t="s">
        <v>103</v>
      </c>
      <c r="BL41" t="s">
        <v>1024</v>
      </c>
      <c r="BM41" t="s">
        <v>1025</v>
      </c>
      <c r="BN41">
        <v>39663851</v>
      </c>
      <c r="BO41" t="s">
        <v>74</v>
      </c>
      <c r="BP41" t="s">
        <v>74</v>
      </c>
      <c r="BQ41" t="s">
        <v>74</v>
      </c>
      <c r="BR41" t="s">
        <v>106</v>
      </c>
      <c r="BS41" t="s">
        <v>1026</v>
      </c>
      <c r="BT41" t="str">
        <f>HYPERLINK("https%3A%2F%2Fwww.webofscience.com%2Fwos%2Fwoscc%2Ffull-record%2FWOS:001376014600001","View Full Record in Web of Science")</f>
        <v>View Full Record in Web of Science</v>
      </c>
    </row>
    <row r="42" spans="1:72" x14ac:dyDescent="0.15">
      <c r="A42" t="s">
        <v>72</v>
      </c>
      <c r="B42" t="s">
        <v>1027</v>
      </c>
      <c r="C42" t="s">
        <v>74</v>
      </c>
      <c r="D42" t="s">
        <v>74</v>
      </c>
      <c r="E42" t="s">
        <v>74</v>
      </c>
      <c r="F42" t="s">
        <v>1028</v>
      </c>
      <c r="G42" t="s">
        <v>74</v>
      </c>
      <c r="H42" t="s">
        <v>74</v>
      </c>
      <c r="I42" t="s">
        <v>1029</v>
      </c>
      <c r="J42" t="s">
        <v>1030</v>
      </c>
      <c r="K42" t="s">
        <v>74</v>
      </c>
      <c r="L42" t="s">
        <v>74</v>
      </c>
      <c r="M42" t="s">
        <v>78</v>
      </c>
      <c r="N42" t="s">
        <v>79</v>
      </c>
      <c r="O42" t="s">
        <v>74</v>
      </c>
      <c r="P42" t="s">
        <v>74</v>
      </c>
      <c r="Q42" t="s">
        <v>74</v>
      </c>
      <c r="R42" t="s">
        <v>74</v>
      </c>
      <c r="S42" t="s">
        <v>74</v>
      </c>
      <c r="T42" t="s">
        <v>74</v>
      </c>
      <c r="U42" t="s">
        <v>1031</v>
      </c>
      <c r="V42" t="s">
        <v>1032</v>
      </c>
      <c r="W42" t="s">
        <v>1033</v>
      </c>
      <c r="X42" t="s">
        <v>145</v>
      </c>
      <c r="Y42" t="s">
        <v>1034</v>
      </c>
      <c r="Z42" t="s">
        <v>1035</v>
      </c>
      <c r="AA42" t="s">
        <v>74</v>
      </c>
      <c r="AB42" t="s">
        <v>1036</v>
      </c>
      <c r="AC42" t="s">
        <v>1037</v>
      </c>
      <c r="AD42" t="s">
        <v>1038</v>
      </c>
      <c r="AE42" t="s">
        <v>1039</v>
      </c>
      <c r="AF42" t="s">
        <v>74</v>
      </c>
      <c r="AG42">
        <v>52</v>
      </c>
      <c r="AH42">
        <v>2</v>
      </c>
      <c r="AI42">
        <v>2</v>
      </c>
      <c r="AJ42">
        <v>1</v>
      </c>
      <c r="AK42">
        <v>13</v>
      </c>
      <c r="AL42" t="s">
        <v>1040</v>
      </c>
      <c r="AM42" t="s">
        <v>1041</v>
      </c>
      <c r="AN42" t="s">
        <v>1042</v>
      </c>
      <c r="AO42" t="s">
        <v>1043</v>
      </c>
      <c r="AP42" t="s">
        <v>1044</v>
      </c>
      <c r="AQ42" t="s">
        <v>74</v>
      </c>
      <c r="AR42" t="s">
        <v>1045</v>
      </c>
      <c r="AS42" t="s">
        <v>1046</v>
      </c>
      <c r="AT42" t="s">
        <v>99</v>
      </c>
      <c r="AU42">
        <v>2024</v>
      </c>
      <c r="AV42">
        <v>20</v>
      </c>
      <c r="AW42">
        <v>11</v>
      </c>
      <c r="AX42" t="s">
        <v>74</v>
      </c>
      <c r="AY42" t="s">
        <v>74</v>
      </c>
      <c r="AZ42" t="s">
        <v>74</v>
      </c>
      <c r="BA42" t="s">
        <v>74</v>
      </c>
      <c r="BB42" t="s">
        <v>74</v>
      </c>
      <c r="BC42" t="s">
        <v>74</v>
      </c>
      <c r="BD42" t="s">
        <v>1047</v>
      </c>
      <c r="BE42" t="s">
        <v>1048</v>
      </c>
      <c r="BF42" t="str">
        <f>HYPERLINK("http://dx.doi.org/10.1371/journal.pcbi.1012114","http://dx.doi.org/10.1371/journal.pcbi.1012114")</f>
        <v>http://dx.doi.org/10.1371/journal.pcbi.1012114</v>
      </c>
      <c r="BG42" t="s">
        <v>74</v>
      </c>
      <c r="BH42" t="s">
        <v>74</v>
      </c>
      <c r="BI42">
        <v>33</v>
      </c>
      <c r="BJ42" t="s">
        <v>1049</v>
      </c>
      <c r="BK42" t="s">
        <v>103</v>
      </c>
      <c r="BL42" t="s">
        <v>1050</v>
      </c>
      <c r="BM42" t="s">
        <v>1051</v>
      </c>
      <c r="BN42">
        <v>39531480</v>
      </c>
      <c r="BO42" t="s">
        <v>191</v>
      </c>
      <c r="BP42" t="s">
        <v>74</v>
      </c>
      <c r="BQ42" t="s">
        <v>74</v>
      </c>
      <c r="BR42" t="s">
        <v>106</v>
      </c>
      <c r="BS42" t="s">
        <v>1052</v>
      </c>
      <c r="BT42" t="str">
        <f>HYPERLINK("https%3A%2F%2Fwww.webofscience.com%2Fwos%2Fwoscc%2Ffull-record%2FWOS:001352658900001","View Full Record in Web of Science")</f>
        <v>View Full Record in Web of Science</v>
      </c>
    </row>
    <row r="43" spans="1:72" x14ac:dyDescent="0.15">
      <c r="A43" t="s">
        <v>72</v>
      </c>
      <c r="B43" t="s">
        <v>1053</v>
      </c>
      <c r="C43" t="s">
        <v>74</v>
      </c>
      <c r="D43" t="s">
        <v>74</v>
      </c>
      <c r="E43" t="s">
        <v>74</v>
      </c>
      <c r="F43" t="s">
        <v>1054</v>
      </c>
      <c r="G43" t="s">
        <v>74</v>
      </c>
      <c r="H43" t="s">
        <v>74</v>
      </c>
      <c r="I43" t="s">
        <v>1055</v>
      </c>
      <c r="J43" t="s">
        <v>1056</v>
      </c>
      <c r="K43" t="s">
        <v>74</v>
      </c>
      <c r="L43" t="s">
        <v>74</v>
      </c>
      <c r="M43" t="s">
        <v>78</v>
      </c>
      <c r="N43" t="s">
        <v>79</v>
      </c>
      <c r="O43" t="s">
        <v>74</v>
      </c>
      <c r="P43" t="s">
        <v>74</v>
      </c>
      <c r="Q43" t="s">
        <v>74</v>
      </c>
      <c r="R43" t="s">
        <v>74</v>
      </c>
      <c r="S43" t="s">
        <v>74</v>
      </c>
      <c r="T43" t="s">
        <v>74</v>
      </c>
      <c r="U43" t="s">
        <v>1057</v>
      </c>
      <c r="V43" t="s">
        <v>1058</v>
      </c>
      <c r="W43" t="s">
        <v>1059</v>
      </c>
      <c r="X43" t="s">
        <v>354</v>
      </c>
      <c r="Y43" t="s">
        <v>869</v>
      </c>
      <c r="Z43" t="s">
        <v>870</v>
      </c>
      <c r="AA43" t="s">
        <v>74</v>
      </c>
      <c r="AB43" t="s">
        <v>74</v>
      </c>
      <c r="AC43" t="s">
        <v>1060</v>
      </c>
      <c r="AD43" t="s">
        <v>1061</v>
      </c>
      <c r="AE43" t="s">
        <v>1062</v>
      </c>
      <c r="AF43" t="s">
        <v>74</v>
      </c>
      <c r="AG43">
        <v>42</v>
      </c>
      <c r="AH43">
        <v>0</v>
      </c>
      <c r="AI43">
        <v>0</v>
      </c>
      <c r="AJ43">
        <v>3</v>
      </c>
      <c r="AK43">
        <v>3</v>
      </c>
      <c r="AL43" t="s">
        <v>152</v>
      </c>
      <c r="AM43" t="s">
        <v>153</v>
      </c>
      <c r="AN43" t="s">
        <v>154</v>
      </c>
      <c r="AO43" t="s">
        <v>1063</v>
      </c>
      <c r="AP43" t="s">
        <v>1064</v>
      </c>
      <c r="AQ43" t="s">
        <v>74</v>
      </c>
      <c r="AR43" t="s">
        <v>1065</v>
      </c>
      <c r="AS43" t="s">
        <v>1066</v>
      </c>
      <c r="AT43" t="s">
        <v>1067</v>
      </c>
      <c r="AU43">
        <v>2026</v>
      </c>
      <c r="AV43">
        <v>148</v>
      </c>
      <c r="AW43">
        <v>16</v>
      </c>
      <c r="AX43" t="s">
        <v>74</v>
      </c>
      <c r="AY43" t="s">
        <v>74</v>
      </c>
      <c r="AZ43" t="s">
        <v>74</v>
      </c>
      <c r="BA43" t="s">
        <v>74</v>
      </c>
      <c r="BB43">
        <v>16588</v>
      </c>
      <c r="BC43">
        <v>16593</v>
      </c>
      <c r="BD43" t="s">
        <v>74</v>
      </c>
      <c r="BE43" t="s">
        <v>1068</v>
      </c>
      <c r="BF43" t="str">
        <f>HYPERLINK("http://dx.doi.org/10.1021/jacs.6c00833","http://dx.doi.org/10.1021/jacs.6c00833")</f>
        <v>http://dx.doi.org/10.1021/jacs.6c00833</v>
      </c>
      <c r="BG43" t="s">
        <v>74</v>
      </c>
      <c r="BH43" t="s">
        <v>604</v>
      </c>
      <c r="BI43">
        <v>6</v>
      </c>
      <c r="BJ43" t="s">
        <v>1069</v>
      </c>
      <c r="BK43" t="s">
        <v>103</v>
      </c>
      <c r="BL43" t="s">
        <v>1070</v>
      </c>
      <c r="BM43" t="s">
        <v>1071</v>
      </c>
      <c r="BN43">
        <v>41990218</v>
      </c>
      <c r="BO43" t="s">
        <v>136</v>
      </c>
      <c r="BP43" t="s">
        <v>74</v>
      </c>
      <c r="BQ43" t="s">
        <v>74</v>
      </c>
      <c r="BR43" t="s">
        <v>106</v>
      </c>
      <c r="BS43" t="s">
        <v>1072</v>
      </c>
      <c r="BT43" t="str">
        <f>HYPERLINK("https%3A%2F%2Fwww.webofscience.com%2Fwos%2Fwoscc%2Ffull-record%2FWOS:001742376300001","View Full Record in Web of Science")</f>
        <v>View Full Record in Web of Science</v>
      </c>
    </row>
    <row r="44" spans="1:72" x14ac:dyDescent="0.15">
      <c r="A44" t="s">
        <v>72</v>
      </c>
      <c r="B44" t="s">
        <v>1073</v>
      </c>
      <c r="C44" t="s">
        <v>74</v>
      </c>
      <c r="D44" t="s">
        <v>74</v>
      </c>
      <c r="E44" t="s">
        <v>74</v>
      </c>
      <c r="F44" t="s">
        <v>1074</v>
      </c>
      <c r="G44" t="s">
        <v>74</v>
      </c>
      <c r="H44" t="s">
        <v>74</v>
      </c>
      <c r="I44" t="s">
        <v>1075</v>
      </c>
      <c r="J44" t="s">
        <v>1076</v>
      </c>
      <c r="K44" t="s">
        <v>74</v>
      </c>
      <c r="L44" t="s">
        <v>74</v>
      </c>
      <c r="M44" t="s">
        <v>78</v>
      </c>
      <c r="N44" t="s">
        <v>79</v>
      </c>
      <c r="O44" t="s">
        <v>74</v>
      </c>
      <c r="P44" t="s">
        <v>74</v>
      </c>
      <c r="Q44" t="s">
        <v>74</v>
      </c>
      <c r="R44" t="s">
        <v>74</v>
      </c>
      <c r="S44" t="s">
        <v>74</v>
      </c>
      <c r="T44" t="s">
        <v>74</v>
      </c>
      <c r="U44" t="s">
        <v>1077</v>
      </c>
      <c r="V44" t="s">
        <v>1078</v>
      </c>
      <c r="W44" t="s">
        <v>1079</v>
      </c>
      <c r="X44" t="s">
        <v>145</v>
      </c>
      <c r="Y44" t="s">
        <v>1080</v>
      </c>
      <c r="Z44" t="s">
        <v>1081</v>
      </c>
      <c r="AA44" t="s">
        <v>1082</v>
      </c>
      <c r="AB44" t="s">
        <v>1083</v>
      </c>
      <c r="AC44" t="s">
        <v>1084</v>
      </c>
      <c r="AD44" t="s">
        <v>1085</v>
      </c>
      <c r="AE44" t="s">
        <v>1086</v>
      </c>
      <c r="AF44" t="s">
        <v>74</v>
      </c>
      <c r="AG44">
        <v>73</v>
      </c>
      <c r="AH44">
        <v>8</v>
      </c>
      <c r="AI44">
        <v>9</v>
      </c>
      <c r="AJ44">
        <v>5</v>
      </c>
      <c r="AK44">
        <v>9</v>
      </c>
      <c r="AL44" t="s">
        <v>491</v>
      </c>
      <c r="AM44" t="s">
        <v>124</v>
      </c>
      <c r="AN44" t="s">
        <v>492</v>
      </c>
      <c r="AO44" t="s">
        <v>1087</v>
      </c>
      <c r="AP44" t="s">
        <v>1088</v>
      </c>
      <c r="AQ44" t="s">
        <v>74</v>
      </c>
      <c r="AR44" t="s">
        <v>1089</v>
      </c>
      <c r="AS44" t="s">
        <v>1090</v>
      </c>
      <c r="AT44" t="s">
        <v>1091</v>
      </c>
      <c r="AU44">
        <v>2025</v>
      </c>
      <c r="AV44">
        <v>12</v>
      </c>
      <c r="AW44">
        <v>5</v>
      </c>
      <c r="AX44" t="s">
        <v>74</v>
      </c>
      <c r="AY44" t="s">
        <v>74</v>
      </c>
      <c r="AZ44" t="s">
        <v>74</v>
      </c>
      <c r="BA44" t="s">
        <v>74</v>
      </c>
      <c r="BB44">
        <v>2630</v>
      </c>
      <c r="BC44">
        <v>2646</v>
      </c>
      <c r="BD44" t="s">
        <v>74</v>
      </c>
      <c r="BE44" t="s">
        <v>1092</v>
      </c>
      <c r="BF44" t="str">
        <f>HYPERLINK("http://dx.doi.org/10.1039/d4en00940a","http://dx.doi.org/10.1039/d4en00940a")</f>
        <v>http://dx.doi.org/10.1039/d4en00940a</v>
      </c>
      <c r="BG44" t="s">
        <v>74</v>
      </c>
      <c r="BH44" t="s">
        <v>421</v>
      </c>
      <c r="BI44">
        <v>17</v>
      </c>
      <c r="BJ44" t="s">
        <v>1093</v>
      </c>
      <c r="BK44" t="s">
        <v>103</v>
      </c>
      <c r="BL44" t="s">
        <v>1094</v>
      </c>
      <c r="BM44" t="s">
        <v>1095</v>
      </c>
      <c r="BN44" t="s">
        <v>74</v>
      </c>
      <c r="BO44" t="s">
        <v>344</v>
      </c>
      <c r="BP44" t="s">
        <v>74</v>
      </c>
      <c r="BQ44" t="s">
        <v>74</v>
      </c>
      <c r="BR44" t="s">
        <v>106</v>
      </c>
      <c r="BS44" t="s">
        <v>1096</v>
      </c>
      <c r="BT44" t="str">
        <f>HYPERLINK("https%3A%2F%2Fwww.webofscience.com%2Fwos%2Fwoscc%2Ffull-record%2FWOS:001458492400001","View Full Record in Web of Science")</f>
        <v>View Full Record in Web of Science</v>
      </c>
    </row>
    <row r="45" spans="1:72" x14ac:dyDescent="0.15">
      <c r="A45" t="s">
        <v>72</v>
      </c>
      <c r="B45" t="s">
        <v>1097</v>
      </c>
      <c r="C45" t="s">
        <v>74</v>
      </c>
      <c r="D45" t="s">
        <v>74</v>
      </c>
      <c r="E45" t="s">
        <v>74</v>
      </c>
      <c r="F45" t="s">
        <v>1098</v>
      </c>
      <c r="G45" t="s">
        <v>74</v>
      </c>
      <c r="H45" t="s">
        <v>74</v>
      </c>
      <c r="I45" t="s">
        <v>1099</v>
      </c>
      <c r="J45" t="s">
        <v>1100</v>
      </c>
      <c r="K45" t="s">
        <v>74</v>
      </c>
      <c r="L45" t="s">
        <v>74</v>
      </c>
      <c r="M45" t="s">
        <v>78</v>
      </c>
      <c r="N45" t="s">
        <v>79</v>
      </c>
      <c r="O45" t="s">
        <v>74</v>
      </c>
      <c r="P45" t="s">
        <v>74</v>
      </c>
      <c r="Q45" t="s">
        <v>74</v>
      </c>
      <c r="R45" t="s">
        <v>74</v>
      </c>
      <c r="S45" t="s">
        <v>74</v>
      </c>
      <c r="T45" t="s">
        <v>1101</v>
      </c>
      <c r="U45" t="s">
        <v>1102</v>
      </c>
      <c r="V45" t="s">
        <v>1103</v>
      </c>
      <c r="W45" t="s">
        <v>1104</v>
      </c>
      <c r="X45" t="s">
        <v>1105</v>
      </c>
      <c r="Y45" t="s">
        <v>1106</v>
      </c>
      <c r="Z45" t="s">
        <v>1107</v>
      </c>
      <c r="AA45" t="s">
        <v>1108</v>
      </c>
      <c r="AB45" t="s">
        <v>74</v>
      </c>
      <c r="AC45" t="s">
        <v>1109</v>
      </c>
      <c r="AD45" t="s">
        <v>1110</v>
      </c>
      <c r="AE45" t="s">
        <v>1111</v>
      </c>
      <c r="AF45" t="s">
        <v>74</v>
      </c>
      <c r="AG45">
        <v>45</v>
      </c>
      <c r="AH45">
        <v>0</v>
      </c>
      <c r="AI45">
        <v>0</v>
      </c>
      <c r="AJ45">
        <v>10</v>
      </c>
      <c r="AK45">
        <v>10</v>
      </c>
      <c r="AL45" t="s">
        <v>898</v>
      </c>
      <c r="AM45" t="s">
        <v>124</v>
      </c>
      <c r="AN45" t="s">
        <v>899</v>
      </c>
      <c r="AO45" t="s">
        <v>74</v>
      </c>
      <c r="AP45" t="s">
        <v>1112</v>
      </c>
      <c r="AQ45" t="s">
        <v>74</v>
      </c>
      <c r="AR45" t="s">
        <v>1100</v>
      </c>
      <c r="AS45" t="s">
        <v>1113</v>
      </c>
      <c r="AT45" t="s">
        <v>1114</v>
      </c>
      <c r="AU45">
        <v>2026</v>
      </c>
      <c r="AV45">
        <v>4</v>
      </c>
      <c r="AW45">
        <v>3</v>
      </c>
      <c r="AX45" t="s">
        <v>74</v>
      </c>
      <c r="AY45" t="s">
        <v>74</v>
      </c>
      <c r="AZ45" t="s">
        <v>74</v>
      </c>
      <c r="BA45" t="s">
        <v>74</v>
      </c>
      <c r="BB45" t="s">
        <v>74</v>
      </c>
      <c r="BC45" t="s">
        <v>74</v>
      </c>
      <c r="BD45">
        <v>100989</v>
      </c>
      <c r="BE45" t="s">
        <v>1115</v>
      </c>
      <c r="BF45" t="str">
        <f>HYPERLINK("http://dx.doi.org/10.1016/j.device.2025.100989","http://dx.doi.org/10.1016/j.device.2025.100989")</f>
        <v>http://dx.doi.org/10.1016/j.device.2025.100989</v>
      </c>
      <c r="BG45" t="s">
        <v>74</v>
      </c>
      <c r="BH45" t="s">
        <v>74</v>
      </c>
      <c r="BI45">
        <v>9</v>
      </c>
      <c r="BJ45" t="s">
        <v>368</v>
      </c>
      <c r="BK45" t="s">
        <v>236</v>
      </c>
      <c r="BL45" t="s">
        <v>369</v>
      </c>
      <c r="BM45" t="s">
        <v>1116</v>
      </c>
      <c r="BN45" t="s">
        <v>74</v>
      </c>
      <c r="BO45" t="s">
        <v>344</v>
      </c>
      <c r="BP45" t="s">
        <v>74</v>
      </c>
      <c r="BQ45" t="s">
        <v>74</v>
      </c>
      <c r="BR45" t="s">
        <v>106</v>
      </c>
      <c r="BS45" t="s">
        <v>1117</v>
      </c>
      <c r="BT45" t="str">
        <f>HYPERLINK("https%3A%2F%2Fwww.webofscience.com%2Fwos%2Fwoscc%2Ffull-record%2FWOS:001724484000001","View Full Record in Web of Science")</f>
        <v>View Full Record in Web of Science</v>
      </c>
    </row>
    <row r="46" spans="1:72" x14ac:dyDescent="0.15">
      <c r="A46" t="s">
        <v>72</v>
      </c>
      <c r="B46" t="s">
        <v>1118</v>
      </c>
      <c r="C46" t="s">
        <v>74</v>
      </c>
      <c r="D46" t="s">
        <v>74</v>
      </c>
      <c r="E46" t="s">
        <v>74</v>
      </c>
      <c r="F46" t="s">
        <v>1119</v>
      </c>
      <c r="G46" t="s">
        <v>74</v>
      </c>
      <c r="H46" t="s">
        <v>74</v>
      </c>
      <c r="I46" t="s">
        <v>1120</v>
      </c>
      <c r="J46" t="s">
        <v>141</v>
      </c>
      <c r="K46" t="s">
        <v>74</v>
      </c>
      <c r="L46" t="s">
        <v>74</v>
      </c>
      <c r="M46" t="s">
        <v>78</v>
      </c>
      <c r="N46" t="s">
        <v>79</v>
      </c>
      <c r="O46" t="s">
        <v>74</v>
      </c>
      <c r="P46" t="s">
        <v>74</v>
      </c>
      <c r="Q46" t="s">
        <v>74</v>
      </c>
      <c r="R46" t="s">
        <v>74</v>
      </c>
      <c r="S46" t="s">
        <v>74</v>
      </c>
      <c r="T46" t="s">
        <v>74</v>
      </c>
      <c r="U46" t="s">
        <v>1121</v>
      </c>
      <c r="V46" t="s">
        <v>1122</v>
      </c>
      <c r="W46" t="s">
        <v>1123</v>
      </c>
      <c r="X46" t="s">
        <v>145</v>
      </c>
      <c r="Y46" t="s">
        <v>1124</v>
      </c>
      <c r="Z46" t="s">
        <v>1125</v>
      </c>
      <c r="AA46" t="s">
        <v>201</v>
      </c>
      <c r="AB46" t="s">
        <v>1126</v>
      </c>
      <c r="AC46" t="s">
        <v>1127</v>
      </c>
      <c r="AD46" t="s">
        <v>1128</v>
      </c>
      <c r="AE46" t="s">
        <v>1129</v>
      </c>
      <c r="AF46" t="s">
        <v>74</v>
      </c>
      <c r="AG46">
        <v>65</v>
      </c>
      <c r="AH46">
        <v>2</v>
      </c>
      <c r="AI46">
        <v>2</v>
      </c>
      <c r="AJ46">
        <v>5</v>
      </c>
      <c r="AK46">
        <v>16</v>
      </c>
      <c r="AL46" t="s">
        <v>152</v>
      </c>
      <c r="AM46" t="s">
        <v>153</v>
      </c>
      <c r="AN46" t="s">
        <v>154</v>
      </c>
      <c r="AO46" t="s">
        <v>155</v>
      </c>
      <c r="AP46" t="s">
        <v>156</v>
      </c>
      <c r="AQ46" t="s">
        <v>74</v>
      </c>
      <c r="AR46" t="s">
        <v>141</v>
      </c>
      <c r="AS46" t="s">
        <v>157</v>
      </c>
      <c r="AT46" t="s">
        <v>1130</v>
      </c>
      <c r="AU46">
        <v>2025</v>
      </c>
      <c r="AV46">
        <v>58</v>
      </c>
      <c r="AW46">
        <v>5</v>
      </c>
      <c r="AX46" t="s">
        <v>74</v>
      </c>
      <c r="AY46" t="s">
        <v>74</v>
      </c>
      <c r="AZ46" t="s">
        <v>74</v>
      </c>
      <c r="BA46" t="s">
        <v>74</v>
      </c>
      <c r="BB46">
        <v>2412</v>
      </c>
      <c r="BC46">
        <v>2424</v>
      </c>
      <c r="BD46" t="s">
        <v>74</v>
      </c>
      <c r="BE46" t="s">
        <v>1131</v>
      </c>
      <c r="BF46" t="str">
        <f>HYPERLINK("http://dx.doi.org/10.1021/acs.macromol.4c02332","http://dx.doi.org/10.1021/acs.macromol.4c02332")</f>
        <v>http://dx.doi.org/10.1021/acs.macromol.4c02332</v>
      </c>
      <c r="BG46" t="s">
        <v>74</v>
      </c>
      <c r="BH46" t="s">
        <v>274</v>
      </c>
      <c r="BI46">
        <v>13</v>
      </c>
      <c r="BJ46" t="s">
        <v>102</v>
      </c>
      <c r="BK46" t="s">
        <v>103</v>
      </c>
      <c r="BL46" t="s">
        <v>102</v>
      </c>
      <c r="BM46" t="s">
        <v>1132</v>
      </c>
      <c r="BN46" t="s">
        <v>74</v>
      </c>
      <c r="BO46" t="s">
        <v>74</v>
      </c>
      <c r="BP46" t="s">
        <v>74</v>
      </c>
      <c r="BQ46" t="s">
        <v>74</v>
      </c>
      <c r="BR46" t="s">
        <v>106</v>
      </c>
      <c r="BS46" t="s">
        <v>1133</v>
      </c>
      <c r="BT46" t="str">
        <f>HYPERLINK("https%3A%2F%2Fwww.webofscience.com%2Fwos%2Fwoscc%2Ffull-record%2FWOS:001435072300001","View Full Record in Web of Science")</f>
        <v>View Full Record in Web of Science</v>
      </c>
    </row>
    <row r="47" spans="1:72" x14ac:dyDescent="0.15">
      <c r="A47" t="s">
        <v>72</v>
      </c>
      <c r="B47" t="s">
        <v>1134</v>
      </c>
      <c r="C47" t="s">
        <v>74</v>
      </c>
      <c r="D47" t="s">
        <v>74</v>
      </c>
      <c r="E47" t="s">
        <v>74</v>
      </c>
      <c r="F47" t="s">
        <v>1135</v>
      </c>
      <c r="G47" t="s">
        <v>74</v>
      </c>
      <c r="H47" t="s">
        <v>74</v>
      </c>
      <c r="I47" t="s">
        <v>1136</v>
      </c>
      <c r="J47" t="s">
        <v>479</v>
      </c>
      <c r="K47" t="s">
        <v>74</v>
      </c>
      <c r="L47" t="s">
        <v>74</v>
      </c>
      <c r="M47" t="s">
        <v>78</v>
      </c>
      <c r="N47" t="s">
        <v>79</v>
      </c>
      <c r="O47" t="s">
        <v>74</v>
      </c>
      <c r="P47" t="s">
        <v>74</v>
      </c>
      <c r="Q47" t="s">
        <v>74</v>
      </c>
      <c r="R47" t="s">
        <v>74</v>
      </c>
      <c r="S47" t="s">
        <v>74</v>
      </c>
      <c r="T47" t="s">
        <v>74</v>
      </c>
      <c r="U47" t="s">
        <v>1137</v>
      </c>
      <c r="V47" t="s">
        <v>1138</v>
      </c>
      <c r="W47" t="s">
        <v>1139</v>
      </c>
      <c r="X47" t="s">
        <v>1140</v>
      </c>
      <c r="Y47" t="s">
        <v>1141</v>
      </c>
      <c r="Z47" t="s">
        <v>1142</v>
      </c>
      <c r="AA47" t="s">
        <v>1143</v>
      </c>
      <c r="AB47" t="s">
        <v>1144</v>
      </c>
      <c r="AC47" t="s">
        <v>1145</v>
      </c>
      <c r="AD47" t="s">
        <v>1146</v>
      </c>
      <c r="AE47" t="s">
        <v>1147</v>
      </c>
      <c r="AF47" t="s">
        <v>74</v>
      </c>
      <c r="AG47">
        <v>44</v>
      </c>
      <c r="AH47">
        <v>0</v>
      </c>
      <c r="AI47">
        <v>0</v>
      </c>
      <c r="AJ47">
        <v>2</v>
      </c>
      <c r="AK47">
        <v>2</v>
      </c>
      <c r="AL47" t="s">
        <v>491</v>
      </c>
      <c r="AM47" t="s">
        <v>124</v>
      </c>
      <c r="AN47" t="s">
        <v>492</v>
      </c>
      <c r="AO47" t="s">
        <v>493</v>
      </c>
      <c r="AP47" t="s">
        <v>494</v>
      </c>
      <c r="AQ47" t="s">
        <v>74</v>
      </c>
      <c r="AR47" t="s">
        <v>479</v>
      </c>
      <c r="AS47" t="s">
        <v>495</v>
      </c>
      <c r="AT47" t="s">
        <v>1148</v>
      </c>
      <c r="AU47">
        <v>2025</v>
      </c>
      <c r="AV47">
        <v>21</v>
      </c>
      <c r="AW47">
        <v>47</v>
      </c>
      <c r="AX47" t="s">
        <v>74</v>
      </c>
      <c r="AY47" t="s">
        <v>74</v>
      </c>
      <c r="AZ47" t="s">
        <v>74</v>
      </c>
      <c r="BA47" t="s">
        <v>74</v>
      </c>
      <c r="BB47" t="s">
        <v>74</v>
      </c>
      <c r="BC47" t="s">
        <v>74</v>
      </c>
      <c r="BD47" t="s">
        <v>74</v>
      </c>
      <c r="BE47" t="s">
        <v>1149</v>
      </c>
      <c r="BF47" t="str">
        <f>HYPERLINK("http://dx.doi.org/10.1039/d5sm00619h","http://dx.doi.org/10.1039/d5sm00619h")</f>
        <v>http://dx.doi.org/10.1039/d5sm00619h</v>
      </c>
      <c r="BG47" t="s">
        <v>74</v>
      </c>
      <c r="BH47" t="s">
        <v>1150</v>
      </c>
      <c r="BI47">
        <v>14</v>
      </c>
      <c r="BJ47" t="s">
        <v>499</v>
      </c>
      <c r="BK47" t="s">
        <v>103</v>
      </c>
      <c r="BL47" t="s">
        <v>500</v>
      </c>
      <c r="BM47" t="s">
        <v>1151</v>
      </c>
      <c r="BN47">
        <v>41190385</v>
      </c>
      <c r="BO47" t="s">
        <v>344</v>
      </c>
      <c r="BP47" t="s">
        <v>74</v>
      </c>
      <c r="BQ47" t="s">
        <v>74</v>
      </c>
      <c r="BR47" t="s">
        <v>106</v>
      </c>
      <c r="BS47" t="s">
        <v>1152</v>
      </c>
      <c r="BT47" t="str">
        <f>HYPERLINK("https%3A%2F%2Fwww.webofscience.com%2Fwos%2Fwoscc%2Ffull-record%2FWOS:001607649800001","View Full Record in Web of Science")</f>
        <v>View Full Record in Web of Science</v>
      </c>
    </row>
    <row r="48" spans="1:72" x14ac:dyDescent="0.15">
      <c r="A48" t="s">
        <v>72</v>
      </c>
      <c r="B48" t="s">
        <v>1153</v>
      </c>
      <c r="C48" t="s">
        <v>74</v>
      </c>
      <c r="D48" t="s">
        <v>74</v>
      </c>
      <c r="E48" t="s">
        <v>74</v>
      </c>
      <c r="F48" t="s">
        <v>1154</v>
      </c>
      <c r="G48" t="s">
        <v>74</v>
      </c>
      <c r="H48" t="s">
        <v>74</v>
      </c>
      <c r="I48" t="s">
        <v>1155</v>
      </c>
      <c r="J48" t="s">
        <v>563</v>
      </c>
      <c r="K48" t="s">
        <v>74</v>
      </c>
      <c r="L48" t="s">
        <v>74</v>
      </c>
      <c r="M48" t="s">
        <v>78</v>
      </c>
      <c r="N48" t="s">
        <v>79</v>
      </c>
      <c r="O48" t="s">
        <v>74</v>
      </c>
      <c r="P48" t="s">
        <v>74</v>
      </c>
      <c r="Q48" t="s">
        <v>74</v>
      </c>
      <c r="R48" t="s">
        <v>74</v>
      </c>
      <c r="S48" t="s">
        <v>74</v>
      </c>
      <c r="T48" t="s">
        <v>74</v>
      </c>
      <c r="U48" t="s">
        <v>1156</v>
      </c>
      <c r="V48" t="s">
        <v>1157</v>
      </c>
      <c r="W48" t="s">
        <v>1158</v>
      </c>
      <c r="X48" t="s">
        <v>1159</v>
      </c>
      <c r="Y48" t="s">
        <v>1160</v>
      </c>
      <c r="Z48" t="s">
        <v>1161</v>
      </c>
      <c r="AA48" t="s">
        <v>1162</v>
      </c>
      <c r="AB48" t="s">
        <v>1163</v>
      </c>
      <c r="AC48" t="s">
        <v>1164</v>
      </c>
      <c r="AD48" t="s">
        <v>1165</v>
      </c>
      <c r="AE48" t="s">
        <v>1166</v>
      </c>
      <c r="AF48" t="s">
        <v>74</v>
      </c>
      <c r="AG48">
        <v>44</v>
      </c>
      <c r="AH48">
        <v>4</v>
      </c>
      <c r="AI48">
        <v>8</v>
      </c>
      <c r="AJ48">
        <v>4</v>
      </c>
      <c r="AK48">
        <v>23</v>
      </c>
      <c r="AL48" t="s">
        <v>152</v>
      </c>
      <c r="AM48" t="s">
        <v>153</v>
      </c>
      <c r="AN48" t="s">
        <v>154</v>
      </c>
      <c r="AO48" t="s">
        <v>575</v>
      </c>
      <c r="AP48" t="s">
        <v>576</v>
      </c>
      <c r="AQ48" t="s">
        <v>74</v>
      </c>
      <c r="AR48" t="s">
        <v>577</v>
      </c>
      <c r="AS48" t="s">
        <v>578</v>
      </c>
      <c r="AT48" t="s">
        <v>1167</v>
      </c>
      <c r="AU48">
        <v>2024</v>
      </c>
      <c r="AV48">
        <v>36</v>
      </c>
      <c r="AW48">
        <v>19</v>
      </c>
      <c r="AX48" t="s">
        <v>74</v>
      </c>
      <c r="AY48" t="s">
        <v>74</v>
      </c>
      <c r="AZ48" t="s">
        <v>74</v>
      </c>
      <c r="BA48" t="s">
        <v>74</v>
      </c>
      <c r="BB48">
        <v>9970</v>
      </c>
      <c r="BC48">
        <v>9979</v>
      </c>
      <c r="BD48" t="s">
        <v>74</v>
      </c>
      <c r="BE48" t="s">
        <v>1168</v>
      </c>
      <c r="BF48" t="str">
        <f>HYPERLINK("http://dx.doi.org/10.1021/acs.chemmater.4c02398","http://dx.doi.org/10.1021/acs.chemmater.4c02398")</f>
        <v>http://dx.doi.org/10.1021/acs.chemmater.4c02398</v>
      </c>
      <c r="BG48" t="s">
        <v>74</v>
      </c>
      <c r="BH48" t="s">
        <v>101</v>
      </c>
      <c r="BI48">
        <v>10</v>
      </c>
      <c r="BJ48" t="s">
        <v>581</v>
      </c>
      <c r="BK48" t="s">
        <v>103</v>
      </c>
      <c r="BL48" t="s">
        <v>189</v>
      </c>
      <c r="BM48" t="s">
        <v>1169</v>
      </c>
      <c r="BN48" t="s">
        <v>74</v>
      </c>
      <c r="BO48" t="s">
        <v>105</v>
      </c>
      <c r="BP48" t="s">
        <v>74</v>
      </c>
      <c r="BQ48" t="s">
        <v>74</v>
      </c>
      <c r="BR48" t="s">
        <v>106</v>
      </c>
      <c r="BS48" t="s">
        <v>1170</v>
      </c>
      <c r="BT48" t="str">
        <f>HYPERLINK("https%3A%2F%2Fwww.webofscience.com%2Fwos%2Fwoscc%2Ffull-record%2FWOS:001324872600001","View Full Record in Web of Science")</f>
        <v>View Full Record in Web of Science</v>
      </c>
    </row>
    <row r="49" spans="1:72" x14ac:dyDescent="0.15">
      <c r="A49" t="s">
        <v>72</v>
      </c>
      <c r="B49" t="s">
        <v>1171</v>
      </c>
      <c r="C49" t="s">
        <v>74</v>
      </c>
      <c r="D49" t="s">
        <v>74</v>
      </c>
      <c r="E49" t="s">
        <v>74</v>
      </c>
      <c r="F49" t="s">
        <v>1172</v>
      </c>
      <c r="G49" t="s">
        <v>74</v>
      </c>
      <c r="H49" t="s">
        <v>74</v>
      </c>
      <c r="I49" t="s">
        <v>1173</v>
      </c>
      <c r="J49" t="s">
        <v>325</v>
      </c>
      <c r="K49" t="s">
        <v>74</v>
      </c>
      <c r="L49" t="s">
        <v>74</v>
      </c>
      <c r="M49" t="s">
        <v>78</v>
      </c>
      <c r="N49" t="s">
        <v>79</v>
      </c>
      <c r="O49" t="s">
        <v>74</v>
      </c>
      <c r="P49" t="s">
        <v>74</v>
      </c>
      <c r="Q49" t="s">
        <v>74</v>
      </c>
      <c r="R49" t="s">
        <v>74</v>
      </c>
      <c r="S49" t="s">
        <v>74</v>
      </c>
      <c r="T49" t="s">
        <v>1174</v>
      </c>
      <c r="U49" t="s">
        <v>1175</v>
      </c>
      <c r="V49" t="s">
        <v>1176</v>
      </c>
      <c r="W49" t="s">
        <v>1177</v>
      </c>
      <c r="X49" t="s">
        <v>1178</v>
      </c>
      <c r="Y49" t="s">
        <v>1179</v>
      </c>
      <c r="Z49" t="s">
        <v>1180</v>
      </c>
      <c r="AA49" t="s">
        <v>1181</v>
      </c>
      <c r="AB49" t="s">
        <v>1182</v>
      </c>
      <c r="AC49" t="s">
        <v>1183</v>
      </c>
      <c r="AD49" t="s">
        <v>1184</v>
      </c>
      <c r="AE49" t="s">
        <v>1185</v>
      </c>
      <c r="AF49" t="s">
        <v>74</v>
      </c>
      <c r="AG49">
        <v>23</v>
      </c>
      <c r="AH49">
        <v>3</v>
      </c>
      <c r="AI49">
        <v>4</v>
      </c>
      <c r="AJ49">
        <v>2</v>
      </c>
      <c r="AK49">
        <v>8</v>
      </c>
      <c r="AL49" t="s">
        <v>92</v>
      </c>
      <c r="AM49" t="s">
        <v>93</v>
      </c>
      <c r="AN49" t="s">
        <v>94</v>
      </c>
      <c r="AO49" t="s">
        <v>337</v>
      </c>
      <c r="AP49" t="s">
        <v>338</v>
      </c>
      <c r="AQ49" t="s">
        <v>74</v>
      </c>
      <c r="AR49" t="s">
        <v>325</v>
      </c>
      <c r="AS49" t="s">
        <v>339</v>
      </c>
      <c r="AT49" t="s">
        <v>1186</v>
      </c>
      <c r="AU49">
        <v>2024</v>
      </c>
      <c r="AV49">
        <v>291</v>
      </c>
      <c r="AW49" t="s">
        <v>74</v>
      </c>
      <c r="AX49" t="s">
        <v>74</v>
      </c>
      <c r="AY49" t="s">
        <v>74</v>
      </c>
      <c r="AZ49" t="s">
        <v>74</v>
      </c>
      <c r="BA49" t="s">
        <v>74</v>
      </c>
      <c r="BB49" t="s">
        <v>74</v>
      </c>
      <c r="BC49" t="s">
        <v>74</v>
      </c>
      <c r="BD49">
        <v>126615</v>
      </c>
      <c r="BE49" t="s">
        <v>1187</v>
      </c>
      <c r="BF49" t="str">
        <f>HYPERLINK("http://dx.doi.org/10.1016/j.polymer.2023.126615","http://dx.doi.org/10.1016/j.polymer.2023.126615")</f>
        <v>http://dx.doi.org/10.1016/j.polymer.2023.126615</v>
      </c>
      <c r="BG49" t="s">
        <v>74</v>
      </c>
      <c r="BH49" t="s">
        <v>1188</v>
      </c>
      <c r="BI49">
        <v>5</v>
      </c>
      <c r="BJ49" t="s">
        <v>102</v>
      </c>
      <c r="BK49" t="s">
        <v>103</v>
      </c>
      <c r="BL49" t="s">
        <v>102</v>
      </c>
      <c r="BM49" t="s">
        <v>1189</v>
      </c>
      <c r="BN49" t="s">
        <v>74</v>
      </c>
      <c r="BO49" t="s">
        <v>74</v>
      </c>
      <c r="BP49" t="s">
        <v>74</v>
      </c>
      <c r="BQ49" t="s">
        <v>74</v>
      </c>
      <c r="BR49" t="s">
        <v>106</v>
      </c>
      <c r="BS49" t="s">
        <v>1190</v>
      </c>
      <c r="BT49" t="str">
        <f>HYPERLINK("https%3A%2F%2Fwww.webofscience.com%2Fwos%2Fwoscc%2Ffull-record%2FWOS:001148002200001","View Full Record in Web of Science")</f>
        <v>View Full Record in Web of Science</v>
      </c>
    </row>
    <row r="50" spans="1:72" x14ac:dyDescent="0.15">
      <c r="A50" t="s">
        <v>72</v>
      </c>
      <c r="B50" t="s">
        <v>1191</v>
      </c>
      <c r="C50" t="s">
        <v>74</v>
      </c>
      <c r="D50" t="s">
        <v>74</v>
      </c>
      <c r="E50" t="s">
        <v>74</v>
      </c>
      <c r="F50" t="s">
        <v>1192</v>
      </c>
      <c r="G50" t="s">
        <v>74</v>
      </c>
      <c r="H50" t="s">
        <v>74</v>
      </c>
      <c r="I50" t="s">
        <v>1193</v>
      </c>
      <c r="J50" t="s">
        <v>1194</v>
      </c>
      <c r="K50" t="s">
        <v>74</v>
      </c>
      <c r="L50" t="s">
        <v>74</v>
      </c>
      <c r="M50" t="s">
        <v>78</v>
      </c>
      <c r="N50" t="s">
        <v>79</v>
      </c>
      <c r="O50" t="s">
        <v>74</v>
      </c>
      <c r="P50" t="s">
        <v>74</v>
      </c>
      <c r="Q50" t="s">
        <v>74</v>
      </c>
      <c r="R50" t="s">
        <v>74</v>
      </c>
      <c r="S50" t="s">
        <v>74</v>
      </c>
      <c r="T50" t="s">
        <v>1195</v>
      </c>
      <c r="U50" t="s">
        <v>1196</v>
      </c>
      <c r="V50" t="s">
        <v>1197</v>
      </c>
      <c r="W50" t="s">
        <v>1198</v>
      </c>
      <c r="X50" t="s">
        <v>1199</v>
      </c>
      <c r="Y50" t="s">
        <v>1200</v>
      </c>
      <c r="Z50" t="s">
        <v>1201</v>
      </c>
      <c r="AA50" t="s">
        <v>1202</v>
      </c>
      <c r="AB50" t="s">
        <v>1203</v>
      </c>
      <c r="AC50" t="s">
        <v>1204</v>
      </c>
      <c r="AD50" t="s">
        <v>1205</v>
      </c>
      <c r="AE50" t="s">
        <v>1206</v>
      </c>
      <c r="AF50" t="s">
        <v>74</v>
      </c>
      <c r="AG50">
        <v>50</v>
      </c>
      <c r="AH50">
        <v>7</v>
      </c>
      <c r="AI50">
        <v>7</v>
      </c>
      <c r="AJ50">
        <v>0</v>
      </c>
      <c r="AK50">
        <v>11</v>
      </c>
      <c r="AL50" t="s">
        <v>152</v>
      </c>
      <c r="AM50" t="s">
        <v>153</v>
      </c>
      <c r="AN50" t="s">
        <v>154</v>
      </c>
      <c r="AO50" t="s">
        <v>74</v>
      </c>
      <c r="AP50" t="s">
        <v>1207</v>
      </c>
      <c r="AQ50" t="s">
        <v>74</v>
      </c>
      <c r="AR50" t="s">
        <v>1194</v>
      </c>
      <c r="AS50" t="s">
        <v>1208</v>
      </c>
      <c r="AT50" t="s">
        <v>1209</v>
      </c>
      <c r="AU50">
        <v>2025</v>
      </c>
      <c r="AV50">
        <v>5</v>
      </c>
      <c r="AW50">
        <v>6</v>
      </c>
      <c r="AX50" t="s">
        <v>74</v>
      </c>
      <c r="AY50" t="s">
        <v>74</v>
      </c>
      <c r="AZ50" t="s">
        <v>74</v>
      </c>
      <c r="BA50" t="s">
        <v>74</v>
      </c>
      <c r="BB50">
        <v>2641</v>
      </c>
      <c r="BC50">
        <v>2653</v>
      </c>
      <c r="BD50" t="s">
        <v>74</v>
      </c>
      <c r="BE50" t="s">
        <v>1210</v>
      </c>
      <c r="BF50" t="str">
        <f>HYPERLINK("http://dx.doi.org/10.1021/jacsau.5c00218","http://dx.doi.org/10.1021/jacsau.5c00218")</f>
        <v>http://dx.doi.org/10.1021/jacsau.5c00218</v>
      </c>
      <c r="BG50" t="s">
        <v>74</v>
      </c>
      <c r="BH50" t="s">
        <v>694</v>
      </c>
      <c r="BI50">
        <v>13</v>
      </c>
      <c r="BJ50" t="s">
        <v>1069</v>
      </c>
      <c r="BK50" t="s">
        <v>236</v>
      </c>
      <c r="BL50" t="s">
        <v>1070</v>
      </c>
      <c r="BM50" t="s">
        <v>1211</v>
      </c>
      <c r="BN50">
        <v>40575314</v>
      </c>
      <c r="BO50" t="s">
        <v>191</v>
      </c>
      <c r="BP50" t="s">
        <v>74</v>
      </c>
      <c r="BQ50" t="s">
        <v>74</v>
      </c>
      <c r="BR50" t="s">
        <v>106</v>
      </c>
      <c r="BS50" t="s">
        <v>1212</v>
      </c>
      <c r="BT50" t="str">
        <f>HYPERLINK("https%3A%2F%2Fwww.webofscience.com%2Fwos%2Fwoscc%2Ffull-record%2FWOS:001503506600001","View Full Record in Web of Science")</f>
        <v>View Full Record in Web of Science</v>
      </c>
    </row>
    <row r="51" spans="1:72" x14ac:dyDescent="0.15">
      <c r="A51" t="s">
        <v>72</v>
      </c>
      <c r="B51" t="s">
        <v>1213</v>
      </c>
      <c r="C51" t="s">
        <v>74</v>
      </c>
      <c r="D51" t="s">
        <v>74</v>
      </c>
      <c r="E51" t="s">
        <v>74</v>
      </c>
      <c r="F51" t="s">
        <v>1214</v>
      </c>
      <c r="G51" t="s">
        <v>74</v>
      </c>
      <c r="H51" t="s">
        <v>74</v>
      </c>
      <c r="I51" t="s">
        <v>1215</v>
      </c>
      <c r="J51" t="s">
        <v>1216</v>
      </c>
      <c r="K51" t="s">
        <v>74</v>
      </c>
      <c r="L51" t="s">
        <v>74</v>
      </c>
      <c r="M51" t="s">
        <v>78</v>
      </c>
      <c r="N51" t="s">
        <v>79</v>
      </c>
      <c r="O51" t="s">
        <v>74</v>
      </c>
      <c r="P51" t="s">
        <v>74</v>
      </c>
      <c r="Q51" t="s">
        <v>74</v>
      </c>
      <c r="R51" t="s">
        <v>74</v>
      </c>
      <c r="S51" t="s">
        <v>74</v>
      </c>
      <c r="T51" t="s">
        <v>74</v>
      </c>
      <c r="U51" t="s">
        <v>1217</v>
      </c>
      <c r="V51" t="s">
        <v>1218</v>
      </c>
      <c r="W51" t="s">
        <v>1219</v>
      </c>
      <c r="X51" t="s">
        <v>1220</v>
      </c>
      <c r="Y51" t="s">
        <v>1221</v>
      </c>
      <c r="Z51" t="s">
        <v>1081</v>
      </c>
      <c r="AA51" t="s">
        <v>1222</v>
      </c>
      <c r="AB51" t="s">
        <v>1223</v>
      </c>
      <c r="AC51" t="s">
        <v>1224</v>
      </c>
      <c r="AD51" t="s">
        <v>1225</v>
      </c>
      <c r="AE51" t="s">
        <v>1226</v>
      </c>
      <c r="AF51" t="s">
        <v>74</v>
      </c>
      <c r="AG51">
        <v>29</v>
      </c>
      <c r="AH51">
        <v>10</v>
      </c>
      <c r="AI51">
        <v>12</v>
      </c>
      <c r="AJ51">
        <v>3</v>
      </c>
      <c r="AK51">
        <v>13</v>
      </c>
      <c r="AL51" t="s">
        <v>152</v>
      </c>
      <c r="AM51" t="s">
        <v>153</v>
      </c>
      <c r="AN51" t="s">
        <v>154</v>
      </c>
      <c r="AO51" t="s">
        <v>1227</v>
      </c>
      <c r="AP51" t="s">
        <v>74</v>
      </c>
      <c r="AQ51" t="s">
        <v>74</v>
      </c>
      <c r="AR51" t="s">
        <v>1228</v>
      </c>
      <c r="AS51" t="s">
        <v>1229</v>
      </c>
      <c r="AT51" t="s">
        <v>1230</v>
      </c>
      <c r="AU51">
        <v>2025</v>
      </c>
      <c r="AV51">
        <v>10</v>
      </c>
      <c r="AW51">
        <v>1</v>
      </c>
      <c r="AX51" t="s">
        <v>74</v>
      </c>
      <c r="AY51" t="s">
        <v>74</v>
      </c>
      <c r="AZ51" t="s">
        <v>74</v>
      </c>
      <c r="BA51" t="s">
        <v>74</v>
      </c>
      <c r="BB51">
        <v>534</v>
      </c>
      <c r="BC51">
        <v>540</v>
      </c>
      <c r="BD51" t="s">
        <v>74</v>
      </c>
      <c r="BE51" t="s">
        <v>1231</v>
      </c>
      <c r="BF51" t="str">
        <f>HYPERLINK("http://dx.doi.org/10.1021/acsenergylett.4c03337","http://dx.doi.org/10.1021/acsenergylett.4c03337")</f>
        <v>http://dx.doi.org/10.1021/acsenergylett.4c03337</v>
      </c>
      <c r="BG51" t="s">
        <v>74</v>
      </c>
      <c r="BH51" t="s">
        <v>1232</v>
      </c>
      <c r="BI51">
        <v>7</v>
      </c>
      <c r="BJ51" t="s">
        <v>1233</v>
      </c>
      <c r="BK51" t="s">
        <v>103</v>
      </c>
      <c r="BL51" t="s">
        <v>1234</v>
      </c>
      <c r="BM51" t="s">
        <v>1235</v>
      </c>
      <c r="BN51" t="s">
        <v>74</v>
      </c>
      <c r="BO51" t="s">
        <v>74</v>
      </c>
      <c r="BP51" t="s">
        <v>74</v>
      </c>
      <c r="BQ51" t="s">
        <v>74</v>
      </c>
      <c r="BR51" t="s">
        <v>106</v>
      </c>
      <c r="BS51" t="s">
        <v>1236</v>
      </c>
      <c r="BT51" t="str">
        <f>HYPERLINK("https%3A%2F%2Fwww.webofscience.com%2Fwos%2Fwoscc%2Ffull-record%2FWOS:001388647400001","View Full Record in Web of Science")</f>
        <v>View Full Record in Web of Science</v>
      </c>
    </row>
    <row r="52" spans="1:72" x14ac:dyDescent="0.15">
      <c r="A52" t="s">
        <v>72</v>
      </c>
      <c r="B52" t="s">
        <v>1237</v>
      </c>
      <c r="C52" t="s">
        <v>74</v>
      </c>
      <c r="D52" t="s">
        <v>74</v>
      </c>
      <c r="E52" t="s">
        <v>74</v>
      </c>
      <c r="F52" t="s">
        <v>1238</v>
      </c>
      <c r="G52" t="s">
        <v>74</v>
      </c>
      <c r="H52" t="s">
        <v>74</v>
      </c>
      <c r="I52" t="s">
        <v>1239</v>
      </c>
      <c r="J52" t="s">
        <v>1056</v>
      </c>
      <c r="K52" t="s">
        <v>74</v>
      </c>
      <c r="L52" t="s">
        <v>74</v>
      </c>
      <c r="M52" t="s">
        <v>78</v>
      </c>
      <c r="N52" t="s">
        <v>79</v>
      </c>
      <c r="O52" t="s">
        <v>74</v>
      </c>
      <c r="P52" t="s">
        <v>74</v>
      </c>
      <c r="Q52" t="s">
        <v>74</v>
      </c>
      <c r="R52" t="s">
        <v>74</v>
      </c>
      <c r="S52" t="s">
        <v>74</v>
      </c>
      <c r="T52" t="s">
        <v>74</v>
      </c>
      <c r="U52" t="s">
        <v>1240</v>
      </c>
      <c r="V52" t="s">
        <v>1241</v>
      </c>
      <c r="W52" t="s">
        <v>1242</v>
      </c>
      <c r="X52" t="s">
        <v>1243</v>
      </c>
      <c r="Y52" t="s">
        <v>1244</v>
      </c>
      <c r="Z52" t="s">
        <v>1245</v>
      </c>
      <c r="AA52" t="s">
        <v>1246</v>
      </c>
      <c r="AB52" t="s">
        <v>1247</v>
      </c>
      <c r="AC52" t="s">
        <v>1248</v>
      </c>
      <c r="AD52" t="s">
        <v>1249</v>
      </c>
      <c r="AE52" t="s">
        <v>1250</v>
      </c>
      <c r="AF52" t="s">
        <v>74</v>
      </c>
      <c r="AG52">
        <v>38</v>
      </c>
      <c r="AH52">
        <v>5</v>
      </c>
      <c r="AI52">
        <v>5</v>
      </c>
      <c r="AJ52">
        <v>12</v>
      </c>
      <c r="AK52">
        <v>18</v>
      </c>
      <c r="AL52" t="s">
        <v>152</v>
      </c>
      <c r="AM52" t="s">
        <v>153</v>
      </c>
      <c r="AN52" t="s">
        <v>154</v>
      </c>
      <c r="AO52" t="s">
        <v>1063</v>
      </c>
      <c r="AP52" t="s">
        <v>1064</v>
      </c>
      <c r="AQ52" t="s">
        <v>74</v>
      </c>
      <c r="AR52" t="s">
        <v>1065</v>
      </c>
      <c r="AS52" t="s">
        <v>1066</v>
      </c>
      <c r="AT52" t="s">
        <v>1251</v>
      </c>
      <c r="AU52">
        <v>2025</v>
      </c>
      <c r="AV52">
        <v>147</v>
      </c>
      <c r="AW52">
        <v>17</v>
      </c>
      <c r="AX52" t="s">
        <v>74</v>
      </c>
      <c r="AY52" t="s">
        <v>74</v>
      </c>
      <c r="AZ52" t="s">
        <v>74</v>
      </c>
      <c r="BA52" t="s">
        <v>74</v>
      </c>
      <c r="BB52">
        <v>14270</v>
      </c>
      <c r="BC52">
        <v>14279</v>
      </c>
      <c r="BD52" t="s">
        <v>74</v>
      </c>
      <c r="BE52" t="s">
        <v>1252</v>
      </c>
      <c r="BF52" t="str">
        <f>HYPERLINK("http://dx.doi.org/10.1021/jacs.4c17830","http://dx.doi.org/10.1021/jacs.4c17830")</f>
        <v>http://dx.doi.org/10.1021/jacs.4c17830</v>
      </c>
      <c r="BG52" t="s">
        <v>74</v>
      </c>
      <c r="BH52" t="s">
        <v>1253</v>
      </c>
      <c r="BI52">
        <v>10</v>
      </c>
      <c r="BJ52" t="s">
        <v>1069</v>
      </c>
      <c r="BK52" t="s">
        <v>103</v>
      </c>
      <c r="BL52" t="s">
        <v>1070</v>
      </c>
      <c r="BM52" t="s">
        <v>1254</v>
      </c>
      <c r="BN52">
        <v>40233191</v>
      </c>
      <c r="BO52" t="s">
        <v>74</v>
      </c>
      <c r="BP52" t="s">
        <v>74</v>
      </c>
      <c r="BQ52" t="s">
        <v>74</v>
      </c>
      <c r="BR52" t="s">
        <v>106</v>
      </c>
      <c r="BS52" t="s">
        <v>1255</v>
      </c>
      <c r="BT52" t="str">
        <f>HYPERLINK("https%3A%2F%2Fwww.webofscience.com%2Fwos%2Fwoscc%2Ffull-record%2FWOS:001467503000001","View Full Record in Web of Science")</f>
        <v>View Full Record in Web of Science</v>
      </c>
    </row>
    <row r="53" spans="1:72" x14ac:dyDescent="0.15">
      <c r="A53" t="s">
        <v>72</v>
      </c>
      <c r="B53" t="s">
        <v>1256</v>
      </c>
      <c r="C53" t="s">
        <v>74</v>
      </c>
      <c r="D53" t="s">
        <v>74</v>
      </c>
      <c r="E53" t="s">
        <v>74</v>
      </c>
      <c r="F53" t="s">
        <v>1257</v>
      </c>
      <c r="G53" t="s">
        <v>74</v>
      </c>
      <c r="H53" t="s">
        <v>74</v>
      </c>
      <c r="I53" t="s">
        <v>1258</v>
      </c>
      <c r="J53" t="s">
        <v>1259</v>
      </c>
      <c r="K53" t="s">
        <v>74</v>
      </c>
      <c r="L53" t="s">
        <v>74</v>
      </c>
      <c r="M53" t="s">
        <v>78</v>
      </c>
      <c r="N53" t="s">
        <v>79</v>
      </c>
      <c r="O53" t="s">
        <v>74</v>
      </c>
      <c r="P53" t="s">
        <v>74</v>
      </c>
      <c r="Q53" t="s">
        <v>74</v>
      </c>
      <c r="R53" t="s">
        <v>74</v>
      </c>
      <c r="S53" t="s">
        <v>74</v>
      </c>
      <c r="T53" t="s">
        <v>74</v>
      </c>
      <c r="U53" t="s">
        <v>1260</v>
      </c>
      <c r="V53" t="s">
        <v>1261</v>
      </c>
      <c r="W53" t="s">
        <v>1262</v>
      </c>
      <c r="X53" t="s">
        <v>1263</v>
      </c>
      <c r="Y53" t="s">
        <v>1264</v>
      </c>
      <c r="Z53" t="s">
        <v>1107</v>
      </c>
      <c r="AA53" t="s">
        <v>1265</v>
      </c>
      <c r="AB53" t="s">
        <v>1266</v>
      </c>
      <c r="AC53" t="s">
        <v>1267</v>
      </c>
      <c r="AD53" t="s">
        <v>1268</v>
      </c>
      <c r="AE53" t="s">
        <v>1269</v>
      </c>
      <c r="AF53" t="s">
        <v>74</v>
      </c>
      <c r="AG53">
        <v>29</v>
      </c>
      <c r="AH53">
        <v>0</v>
      </c>
      <c r="AI53">
        <v>0</v>
      </c>
      <c r="AJ53">
        <v>4</v>
      </c>
      <c r="AK53">
        <v>10</v>
      </c>
      <c r="AL53" t="s">
        <v>491</v>
      </c>
      <c r="AM53" t="s">
        <v>124</v>
      </c>
      <c r="AN53" t="s">
        <v>492</v>
      </c>
      <c r="AO53" t="s">
        <v>1270</v>
      </c>
      <c r="AP53" t="s">
        <v>1271</v>
      </c>
      <c r="AQ53" t="s">
        <v>74</v>
      </c>
      <c r="AR53" t="s">
        <v>1272</v>
      </c>
      <c r="AS53" t="s">
        <v>1273</v>
      </c>
      <c r="AT53" t="s">
        <v>1274</v>
      </c>
      <c r="AU53">
        <v>2025</v>
      </c>
      <c r="AV53">
        <v>13</v>
      </c>
      <c r="AW53">
        <v>43</v>
      </c>
      <c r="AX53" t="s">
        <v>74</v>
      </c>
      <c r="AY53" t="s">
        <v>74</v>
      </c>
      <c r="AZ53" t="s">
        <v>74</v>
      </c>
      <c r="BA53" t="s">
        <v>74</v>
      </c>
      <c r="BB53">
        <v>36953</v>
      </c>
      <c r="BC53">
        <v>36962</v>
      </c>
      <c r="BD53" t="s">
        <v>74</v>
      </c>
      <c r="BE53" t="s">
        <v>1275</v>
      </c>
      <c r="BF53" t="str">
        <f>HYPERLINK("http://dx.doi.org/10.1039/d5ta06459g","http://dx.doi.org/10.1039/d5ta06459g")</f>
        <v>http://dx.doi.org/10.1039/d5ta06459g</v>
      </c>
      <c r="BG53" t="s">
        <v>74</v>
      </c>
      <c r="BH53" t="s">
        <v>1150</v>
      </c>
      <c r="BI53">
        <v>10</v>
      </c>
      <c r="BJ53" t="s">
        <v>929</v>
      </c>
      <c r="BK53" t="s">
        <v>103</v>
      </c>
      <c r="BL53" t="s">
        <v>930</v>
      </c>
      <c r="BM53" t="s">
        <v>1276</v>
      </c>
      <c r="BN53" t="s">
        <v>74</v>
      </c>
      <c r="BO53" t="s">
        <v>344</v>
      </c>
      <c r="BP53" t="s">
        <v>74</v>
      </c>
      <c r="BQ53" t="s">
        <v>74</v>
      </c>
      <c r="BR53" t="s">
        <v>106</v>
      </c>
      <c r="BS53" t="s">
        <v>1277</v>
      </c>
      <c r="BT53" t="str">
        <f>HYPERLINK("https%3A%2F%2Fwww.webofscience.com%2Fwos%2Fwoscc%2Ffull-record%2FWOS:001599328700001","View Full Record in Web of Science")</f>
        <v>View Full Record in Web of Science</v>
      </c>
    </row>
    <row r="54" spans="1:72" x14ac:dyDescent="0.15">
      <c r="A54" t="s">
        <v>72</v>
      </c>
      <c r="B54" t="s">
        <v>1278</v>
      </c>
      <c r="C54" t="s">
        <v>74</v>
      </c>
      <c r="D54" t="s">
        <v>74</v>
      </c>
      <c r="E54" t="s">
        <v>74</v>
      </c>
      <c r="F54" t="s">
        <v>1279</v>
      </c>
      <c r="G54" t="s">
        <v>74</v>
      </c>
      <c r="H54" t="s">
        <v>74</v>
      </c>
      <c r="I54" t="s">
        <v>1280</v>
      </c>
      <c r="J54" t="s">
        <v>1281</v>
      </c>
      <c r="K54" t="s">
        <v>74</v>
      </c>
      <c r="L54" t="s">
        <v>74</v>
      </c>
      <c r="M54" t="s">
        <v>78</v>
      </c>
      <c r="N54" t="s">
        <v>79</v>
      </c>
      <c r="O54" t="s">
        <v>74</v>
      </c>
      <c r="P54" t="s">
        <v>74</v>
      </c>
      <c r="Q54" t="s">
        <v>74</v>
      </c>
      <c r="R54" t="s">
        <v>74</v>
      </c>
      <c r="S54" t="s">
        <v>74</v>
      </c>
      <c r="T54" t="s">
        <v>1282</v>
      </c>
      <c r="U54" t="s">
        <v>1283</v>
      </c>
      <c r="V54" t="s">
        <v>1284</v>
      </c>
      <c r="W54" t="s">
        <v>1285</v>
      </c>
      <c r="X54" t="s">
        <v>145</v>
      </c>
      <c r="Y54" t="s">
        <v>1286</v>
      </c>
      <c r="Z54" t="s">
        <v>1287</v>
      </c>
      <c r="AA54" t="s">
        <v>1288</v>
      </c>
      <c r="AB54" t="s">
        <v>1289</v>
      </c>
      <c r="AC54" t="s">
        <v>1290</v>
      </c>
      <c r="AD54" t="s">
        <v>1291</v>
      </c>
      <c r="AE54" t="s">
        <v>1292</v>
      </c>
      <c r="AF54" t="s">
        <v>74</v>
      </c>
      <c r="AG54">
        <v>37</v>
      </c>
      <c r="AH54">
        <v>7</v>
      </c>
      <c r="AI54">
        <v>7</v>
      </c>
      <c r="AJ54">
        <v>5</v>
      </c>
      <c r="AK54">
        <v>27</v>
      </c>
      <c r="AL54" t="s">
        <v>1293</v>
      </c>
      <c r="AM54" t="s">
        <v>1294</v>
      </c>
      <c r="AN54" t="s">
        <v>1295</v>
      </c>
      <c r="AO54" t="s">
        <v>1296</v>
      </c>
      <c r="AP54" t="s">
        <v>1297</v>
      </c>
      <c r="AQ54" t="s">
        <v>74</v>
      </c>
      <c r="AR54" t="s">
        <v>1298</v>
      </c>
      <c r="AS54" t="s">
        <v>1299</v>
      </c>
      <c r="AT54" t="s">
        <v>1300</v>
      </c>
      <c r="AU54">
        <v>2024</v>
      </c>
      <c r="AV54">
        <v>490</v>
      </c>
      <c r="AW54" t="s">
        <v>74</v>
      </c>
      <c r="AX54" t="s">
        <v>74</v>
      </c>
      <c r="AY54" t="s">
        <v>74</v>
      </c>
      <c r="AZ54" t="s">
        <v>74</v>
      </c>
      <c r="BA54" t="s">
        <v>74</v>
      </c>
      <c r="BB54" t="s">
        <v>74</v>
      </c>
      <c r="BC54" t="s">
        <v>74</v>
      </c>
      <c r="BD54">
        <v>151578</v>
      </c>
      <c r="BE54" t="s">
        <v>1301</v>
      </c>
      <c r="BF54" t="str">
        <f>HYPERLINK("http://dx.doi.org/10.1016/j.cej.2024.151578","http://dx.doi.org/10.1016/j.cej.2024.151578")</f>
        <v>http://dx.doi.org/10.1016/j.cej.2024.151578</v>
      </c>
      <c r="BG54" t="s">
        <v>74</v>
      </c>
      <c r="BH54" t="s">
        <v>1302</v>
      </c>
      <c r="BI54">
        <v>9</v>
      </c>
      <c r="BJ54" t="s">
        <v>1303</v>
      </c>
      <c r="BK54" t="s">
        <v>103</v>
      </c>
      <c r="BL54" t="s">
        <v>396</v>
      </c>
      <c r="BM54" t="s">
        <v>1304</v>
      </c>
      <c r="BN54" t="s">
        <v>74</v>
      </c>
      <c r="BO54" t="s">
        <v>74</v>
      </c>
      <c r="BP54" t="s">
        <v>74</v>
      </c>
      <c r="BQ54" t="s">
        <v>74</v>
      </c>
      <c r="BR54" t="s">
        <v>106</v>
      </c>
      <c r="BS54" t="s">
        <v>1305</v>
      </c>
      <c r="BT54" t="str">
        <f>HYPERLINK("https%3A%2F%2Fwww.webofscience.com%2Fwos%2Fwoscc%2Ffull-record%2FWOS:001240208500001","View Full Record in Web of Science")</f>
        <v>View Full Record in Web of Science</v>
      </c>
    </row>
    <row r="55" spans="1:72" x14ac:dyDescent="0.15">
      <c r="A55" t="s">
        <v>72</v>
      </c>
      <c r="B55" t="s">
        <v>1306</v>
      </c>
      <c r="C55" t="s">
        <v>74</v>
      </c>
      <c r="D55" t="s">
        <v>74</v>
      </c>
      <c r="E55" t="s">
        <v>74</v>
      </c>
      <c r="F55" t="s">
        <v>1307</v>
      </c>
      <c r="G55" t="s">
        <v>74</v>
      </c>
      <c r="H55" t="s">
        <v>74</v>
      </c>
      <c r="I55" t="s">
        <v>1308</v>
      </c>
      <c r="J55" t="s">
        <v>1216</v>
      </c>
      <c r="K55" t="s">
        <v>74</v>
      </c>
      <c r="L55" t="s">
        <v>74</v>
      </c>
      <c r="M55" t="s">
        <v>78</v>
      </c>
      <c r="N55" t="s">
        <v>79</v>
      </c>
      <c r="O55" t="s">
        <v>74</v>
      </c>
      <c r="P55" t="s">
        <v>74</v>
      </c>
      <c r="Q55" t="s">
        <v>74</v>
      </c>
      <c r="R55" t="s">
        <v>74</v>
      </c>
      <c r="S55" t="s">
        <v>74</v>
      </c>
      <c r="T55" t="s">
        <v>74</v>
      </c>
      <c r="U55" t="s">
        <v>1309</v>
      </c>
      <c r="V55" t="s">
        <v>1310</v>
      </c>
      <c r="W55" t="s">
        <v>1311</v>
      </c>
      <c r="X55" t="s">
        <v>1220</v>
      </c>
      <c r="Y55" t="s">
        <v>1221</v>
      </c>
      <c r="Z55" t="s">
        <v>1081</v>
      </c>
      <c r="AA55" t="s">
        <v>1312</v>
      </c>
      <c r="AB55" t="s">
        <v>1313</v>
      </c>
      <c r="AC55" t="s">
        <v>1314</v>
      </c>
      <c r="AD55" t="s">
        <v>1315</v>
      </c>
      <c r="AE55" t="s">
        <v>1316</v>
      </c>
      <c r="AF55" t="s">
        <v>74</v>
      </c>
      <c r="AG55">
        <v>48</v>
      </c>
      <c r="AH55">
        <v>2</v>
      </c>
      <c r="AI55">
        <v>2</v>
      </c>
      <c r="AJ55">
        <v>5</v>
      </c>
      <c r="AK55">
        <v>9</v>
      </c>
      <c r="AL55" t="s">
        <v>152</v>
      </c>
      <c r="AM55" t="s">
        <v>153</v>
      </c>
      <c r="AN55" t="s">
        <v>154</v>
      </c>
      <c r="AO55" t="s">
        <v>1227</v>
      </c>
      <c r="AP55" t="s">
        <v>74</v>
      </c>
      <c r="AQ55" t="s">
        <v>74</v>
      </c>
      <c r="AR55" t="s">
        <v>1228</v>
      </c>
      <c r="AS55" t="s">
        <v>1229</v>
      </c>
      <c r="AT55" t="s">
        <v>765</v>
      </c>
      <c r="AU55">
        <v>2025</v>
      </c>
      <c r="AV55">
        <v>10</v>
      </c>
      <c r="AW55">
        <v>9</v>
      </c>
      <c r="AX55" t="s">
        <v>74</v>
      </c>
      <c r="AY55" t="s">
        <v>74</v>
      </c>
      <c r="AZ55" t="s">
        <v>74</v>
      </c>
      <c r="BA55" t="s">
        <v>74</v>
      </c>
      <c r="BB55">
        <v>4361</v>
      </c>
      <c r="BC55">
        <v>4368</v>
      </c>
      <c r="BD55" t="s">
        <v>74</v>
      </c>
      <c r="BE55" t="s">
        <v>1317</v>
      </c>
      <c r="BF55" t="str">
        <f>HYPERLINK("http://dx.doi.org/10.1021/acsenergylett.5c02256","http://dx.doi.org/10.1021/acsenergylett.5c02256")</f>
        <v>http://dx.doi.org/10.1021/acsenergylett.5c02256</v>
      </c>
      <c r="BG55" t="s">
        <v>74</v>
      </c>
      <c r="BH55" t="s">
        <v>858</v>
      </c>
      <c r="BI55">
        <v>8</v>
      </c>
      <c r="BJ55" t="s">
        <v>1233</v>
      </c>
      <c r="BK55" t="s">
        <v>103</v>
      </c>
      <c r="BL55" t="s">
        <v>1234</v>
      </c>
      <c r="BM55" t="s">
        <v>1318</v>
      </c>
      <c r="BN55" t="s">
        <v>74</v>
      </c>
      <c r="BO55" t="s">
        <v>74</v>
      </c>
      <c r="BP55" t="s">
        <v>74</v>
      </c>
      <c r="BQ55" t="s">
        <v>74</v>
      </c>
      <c r="BR55" t="s">
        <v>106</v>
      </c>
      <c r="BS55" t="s">
        <v>1319</v>
      </c>
      <c r="BT55" t="str">
        <f>HYPERLINK("https%3A%2F%2Fwww.webofscience.com%2Fwos%2Fwoscc%2Ffull-record%2FWOS:001550183400001","View Full Record in Web of Science")</f>
        <v>View Full Record in Web of Science</v>
      </c>
    </row>
    <row r="56" spans="1:72" x14ac:dyDescent="0.15">
      <c r="A56" t="s">
        <v>72</v>
      </c>
      <c r="B56" t="s">
        <v>1320</v>
      </c>
      <c r="C56" t="s">
        <v>74</v>
      </c>
      <c r="D56" t="s">
        <v>74</v>
      </c>
      <c r="E56" t="s">
        <v>74</v>
      </c>
      <c r="F56" t="s">
        <v>1321</v>
      </c>
      <c r="G56" t="s">
        <v>74</v>
      </c>
      <c r="H56" t="s">
        <v>74</v>
      </c>
      <c r="I56" t="s">
        <v>1322</v>
      </c>
      <c r="J56" t="s">
        <v>141</v>
      </c>
      <c r="K56" t="s">
        <v>74</v>
      </c>
      <c r="L56" t="s">
        <v>74</v>
      </c>
      <c r="M56" t="s">
        <v>78</v>
      </c>
      <c r="N56" t="s">
        <v>79</v>
      </c>
      <c r="O56" t="s">
        <v>74</v>
      </c>
      <c r="P56" t="s">
        <v>74</v>
      </c>
      <c r="Q56" t="s">
        <v>74</v>
      </c>
      <c r="R56" t="s">
        <v>74</v>
      </c>
      <c r="S56" t="s">
        <v>74</v>
      </c>
      <c r="T56" t="s">
        <v>74</v>
      </c>
      <c r="U56" t="s">
        <v>1323</v>
      </c>
      <c r="V56" t="s">
        <v>1324</v>
      </c>
      <c r="W56" t="s">
        <v>1325</v>
      </c>
      <c r="X56" t="s">
        <v>1326</v>
      </c>
      <c r="Y56" t="s">
        <v>1327</v>
      </c>
      <c r="Z56" t="s">
        <v>86</v>
      </c>
      <c r="AA56" t="s">
        <v>201</v>
      </c>
      <c r="AB56" t="s">
        <v>1328</v>
      </c>
      <c r="AC56" t="s">
        <v>1329</v>
      </c>
      <c r="AD56" t="s">
        <v>1330</v>
      </c>
      <c r="AE56" t="s">
        <v>1331</v>
      </c>
      <c r="AF56" t="s">
        <v>74</v>
      </c>
      <c r="AG56">
        <v>71</v>
      </c>
      <c r="AH56">
        <v>4</v>
      </c>
      <c r="AI56">
        <v>8</v>
      </c>
      <c r="AJ56">
        <v>5</v>
      </c>
      <c r="AK56">
        <v>22</v>
      </c>
      <c r="AL56" t="s">
        <v>152</v>
      </c>
      <c r="AM56" t="s">
        <v>153</v>
      </c>
      <c r="AN56" t="s">
        <v>154</v>
      </c>
      <c r="AO56" t="s">
        <v>155</v>
      </c>
      <c r="AP56" t="s">
        <v>156</v>
      </c>
      <c r="AQ56" t="s">
        <v>74</v>
      </c>
      <c r="AR56" t="s">
        <v>141</v>
      </c>
      <c r="AS56" t="s">
        <v>157</v>
      </c>
      <c r="AT56" t="s">
        <v>1332</v>
      </c>
      <c r="AU56">
        <v>2024</v>
      </c>
      <c r="AV56">
        <v>57</v>
      </c>
      <c r="AW56">
        <v>22</v>
      </c>
      <c r="AX56" t="s">
        <v>74</v>
      </c>
      <c r="AY56" t="s">
        <v>74</v>
      </c>
      <c r="AZ56" t="s">
        <v>74</v>
      </c>
      <c r="BA56" t="s">
        <v>74</v>
      </c>
      <c r="BB56">
        <v>10767</v>
      </c>
      <c r="BC56">
        <v>10777</v>
      </c>
      <c r="BD56" t="s">
        <v>74</v>
      </c>
      <c r="BE56" t="s">
        <v>1333</v>
      </c>
      <c r="BF56" t="str">
        <f>HYPERLINK("http://dx.doi.org/10.1021/acs.macromol.4c02074","http://dx.doi.org/10.1021/acs.macromol.4c02074")</f>
        <v>http://dx.doi.org/10.1021/acs.macromol.4c02074</v>
      </c>
      <c r="BG56" t="s">
        <v>74</v>
      </c>
      <c r="BH56" t="s">
        <v>554</v>
      </c>
      <c r="BI56">
        <v>11</v>
      </c>
      <c r="BJ56" t="s">
        <v>102</v>
      </c>
      <c r="BK56" t="s">
        <v>103</v>
      </c>
      <c r="BL56" t="s">
        <v>102</v>
      </c>
      <c r="BM56" t="s">
        <v>1334</v>
      </c>
      <c r="BN56" t="s">
        <v>74</v>
      </c>
      <c r="BO56" t="s">
        <v>105</v>
      </c>
      <c r="BP56" t="s">
        <v>74</v>
      </c>
      <c r="BQ56" t="s">
        <v>74</v>
      </c>
      <c r="BR56" t="s">
        <v>106</v>
      </c>
      <c r="BS56" t="s">
        <v>1335</v>
      </c>
      <c r="BT56" t="str">
        <f>HYPERLINK("https%3A%2F%2Fwww.webofscience.com%2Fwos%2Fwoscc%2Ffull-record%2FWOS:001357458800001","View Full Record in Web of Science")</f>
        <v>View Full Record in Web of Science</v>
      </c>
    </row>
    <row r="57" spans="1:72" x14ac:dyDescent="0.15">
      <c r="A57" t="s">
        <v>72</v>
      </c>
      <c r="B57" t="s">
        <v>1336</v>
      </c>
      <c r="C57" t="s">
        <v>74</v>
      </c>
      <c r="D57" t="s">
        <v>74</v>
      </c>
      <c r="E57" t="s">
        <v>74</v>
      </c>
      <c r="F57" t="s">
        <v>1337</v>
      </c>
      <c r="G57" t="s">
        <v>74</v>
      </c>
      <c r="H57" t="s">
        <v>74</v>
      </c>
      <c r="I57" t="s">
        <v>1338</v>
      </c>
      <c r="J57" t="s">
        <v>1339</v>
      </c>
      <c r="K57" t="s">
        <v>74</v>
      </c>
      <c r="L57" t="s">
        <v>74</v>
      </c>
      <c r="M57" t="s">
        <v>78</v>
      </c>
      <c r="N57" t="s">
        <v>79</v>
      </c>
      <c r="O57" t="s">
        <v>74</v>
      </c>
      <c r="P57" t="s">
        <v>74</v>
      </c>
      <c r="Q57" t="s">
        <v>74</v>
      </c>
      <c r="R57" t="s">
        <v>74</v>
      </c>
      <c r="S57" t="s">
        <v>74</v>
      </c>
      <c r="T57" t="s">
        <v>1340</v>
      </c>
      <c r="U57" t="s">
        <v>1341</v>
      </c>
      <c r="V57" t="s">
        <v>1342</v>
      </c>
      <c r="W57" t="s">
        <v>1343</v>
      </c>
      <c r="X57" t="s">
        <v>145</v>
      </c>
      <c r="Y57" t="s">
        <v>1344</v>
      </c>
      <c r="Z57" t="s">
        <v>1345</v>
      </c>
      <c r="AA57" t="s">
        <v>1346</v>
      </c>
      <c r="AB57" t="s">
        <v>1347</v>
      </c>
      <c r="AC57" t="s">
        <v>1348</v>
      </c>
      <c r="AD57" t="s">
        <v>1349</v>
      </c>
      <c r="AE57" t="s">
        <v>1350</v>
      </c>
      <c r="AF57" t="s">
        <v>74</v>
      </c>
      <c r="AG57">
        <v>31</v>
      </c>
      <c r="AH57">
        <v>10</v>
      </c>
      <c r="AI57">
        <v>12</v>
      </c>
      <c r="AJ57">
        <v>4</v>
      </c>
      <c r="AK57">
        <v>13</v>
      </c>
      <c r="AL57" t="s">
        <v>227</v>
      </c>
      <c r="AM57" t="s">
        <v>228</v>
      </c>
      <c r="AN57" t="s">
        <v>229</v>
      </c>
      <c r="AO57" t="s">
        <v>1351</v>
      </c>
      <c r="AP57" t="s">
        <v>1352</v>
      </c>
      <c r="AQ57" t="s">
        <v>74</v>
      </c>
      <c r="AR57" t="s">
        <v>1353</v>
      </c>
      <c r="AS57" t="s">
        <v>1354</v>
      </c>
      <c r="AT57" t="s">
        <v>1355</v>
      </c>
      <c r="AU57">
        <v>2024</v>
      </c>
      <c r="AV57">
        <v>366</v>
      </c>
      <c r="AW57" t="s">
        <v>74</v>
      </c>
      <c r="AX57" t="s">
        <v>74</v>
      </c>
      <c r="AY57" t="s">
        <v>74</v>
      </c>
      <c r="AZ57" t="s">
        <v>74</v>
      </c>
      <c r="BA57" t="s">
        <v>74</v>
      </c>
      <c r="BB57" t="s">
        <v>74</v>
      </c>
      <c r="BC57" t="s">
        <v>74</v>
      </c>
      <c r="BD57">
        <v>112945</v>
      </c>
      <c r="BE57" t="s">
        <v>1356</v>
      </c>
      <c r="BF57" t="str">
        <f>HYPERLINK("http://dx.doi.org/10.1016/j.micromeso.2023.112945","http://dx.doi.org/10.1016/j.micromeso.2023.112945")</f>
        <v>http://dx.doi.org/10.1016/j.micromeso.2023.112945</v>
      </c>
      <c r="BG57" t="s">
        <v>74</v>
      </c>
      <c r="BH57" t="s">
        <v>1188</v>
      </c>
      <c r="BI57">
        <v>8</v>
      </c>
      <c r="BJ57" t="s">
        <v>1357</v>
      </c>
      <c r="BK57" t="s">
        <v>103</v>
      </c>
      <c r="BL57" t="s">
        <v>556</v>
      </c>
      <c r="BM57" t="s">
        <v>1358</v>
      </c>
      <c r="BN57" t="s">
        <v>74</v>
      </c>
      <c r="BO57" t="s">
        <v>105</v>
      </c>
      <c r="BP57" t="s">
        <v>74</v>
      </c>
      <c r="BQ57" t="s">
        <v>74</v>
      </c>
      <c r="BR57" t="s">
        <v>106</v>
      </c>
      <c r="BS57" t="s">
        <v>1359</v>
      </c>
      <c r="BT57" t="str">
        <f>HYPERLINK("https%3A%2F%2Fwww.webofscience.com%2Fwos%2Fwoscc%2Ffull-record%2FWOS:001138278300001","View Full Record in Web of Science")</f>
        <v>View Full Record in Web of Science</v>
      </c>
    </row>
    <row r="58" spans="1:72" x14ac:dyDescent="0.15">
      <c r="A58" t="s">
        <v>72</v>
      </c>
      <c r="B58" t="s">
        <v>1360</v>
      </c>
      <c r="C58" t="s">
        <v>74</v>
      </c>
      <c r="D58" t="s">
        <v>74</v>
      </c>
      <c r="E58" t="s">
        <v>74</v>
      </c>
      <c r="F58" t="s">
        <v>1361</v>
      </c>
      <c r="G58" t="s">
        <v>74</v>
      </c>
      <c r="H58" t="s">
        <v>74</v>
      </c>
      <c r="I58" t="s">
        <v>1362</v>
      </c>
      <c r="J58" t="s">
        <v>1363</v>
      </c>
      <c r="K58" t="s">
        <v>74</v>
      </c>
      <c r="L58" t="s">
        <v>74</v>
      </c>
      <c r="M58" t="s">
        <v>78</v>
      </c>
      <c r="N58" t="s">
        <v>79</v>
      </c>
      <c r="O58" t="s">
        <v>74</v>
      </c>
      <c r="P58" t="s">
        <v>74</v>
      </c>
      <c r="Q58" t="s">
        <v>74</v>
      </c>
      <c r="R58" t="s">
        <v>74</v>
      </c>
      <c r="S58" t="s">
        <v>74</v>
      </c>
      <c r="T58" t="s">
        <v>1364</v>
      </c>
      <c r="U58" t="s">
        <v>1365</v>
      </c>
      <c r="V58" t="s">
        <v>1366</v>
      </c>
      <c r="W58" t="s">
        <v>1367</v>
      </c>
      <c r="X58" t="s">
        <v>1368</v>
      </c>
      <c r="Y58" t="s">
        <v>1369</v>
      </c>
      <c r="Z58" t="s">
        <v>1370</v>
      </c>
      <c r="AA58" t="s">
        <v>249</v>
      </c>
      <c r="AB58" t="s">
        <v>1371</v>
      </c>
      <c r="AC58" t="s">
        <v>1372</v>
      </c>
      <c r="AD58" t="s">
        <v>1373</v>
      </c>
      <c r="AE58" t="s">
        <v>1374</v>
      </c>
      <c r="AF58" t="s">
        <v>74</v>
      </c>
      <c r="AG58">
        <v>40</v>
      </c>
      <c r="AH58">
        <v>1</v>
      </c>
      <c r="AI58">
        <v>1</v>
      </c>
      <c r="AJ58">
        <v>5</v>
      </c>
      <c r="AK58">
        <v>7</v>
      </c>
      <c r="AL58" t="s">
        <v>152</v>
      </c>
      <c r="AM58" t="s">
        <v>153</v>
      </c>
      <c r="AN58" t="s">
        <v>154</v>
      </c>
      <c r="AO58" t="s">
        <v>1375</v>
      </c>
      <c r="AP58" t="s">
        <v>74</v>
      </c>
      <c r="AQ58" t="s">
        <v>74</v>
      </c>
      <c r="AR58" t="s">
        <v>1376</v>
      </c>
      <c r="AS58" t="s">
        <v>1377</v>
      </c>
      <c r="AT58" t="s">
        <v>1091</v>
      </c>
      <c r="AU58">
        <v>2025</v>
      </c>
      <c r="AV58">
        <v>7</v>
      </c>
      <c r="AW58">
        <v>11</v>
      </c>
      <c r="AX58" t="s">
        <v>74</v>
      </c>
      <c r="AY58" t="s">
        <v>74</v>
      </c>
      <c r="AZ58" t="s">
        <v>74</v>
      </c>
      <c r="BA58" t="s">
        <v>74</v>
      </c>
      <c r="BB58">
        <v>7275</v>
      </c>
      <c r="BC58">
        <v>7282</v>
      </c>
      <c r="BD58" t="s">
        <v>74</v>
      </c>
      <c r="BE58" t="s">
        <v>1378</v>
      </c>
      <c r="BF58" t="str">
        <f>HYPERLINK("http://dx.doi.org/10.1021/acsapm.5c00785","http://dx.doi.org/10.1021/acsapm.5c00785")</f>
        <v>http://dx.doi.org/10.1021/acsapm.5c00785</v>
      </c>
      <c r="BG58" t="s">
        <v>74</v>
      </c>
      <c r="BH58" t="s">
        <v>804</v>
      </c>
      <c r="BI58">
        <v>8</v>
      </c>
      <c r="BJ58" t="s">
        <v>1379</v>
      </c>
      <c r="BK58" t="s">
        <v>103</v>
      </c>
      <c r="BL58" t="s">
        <v>1380</v>
      </c>
      <c r="BM58" t="s">
        <v>1381</v>
      </c>
      <c r="BN58" t="s">
        <v>74</v>
      </c>
      <c r="BO58" t="s">
        <v>74</v>
      </c>
      <c r="BP58" t="s">
        <v>74</v>
      </c>
      <c r="BQ58" t="s">
        <v>74</v>
      </c>
      <c r="BR58" t="s">
        <v>106</v>
      </c>
      <c r="BS58" t="s">
        <v>1382</v>
      </c>
      <c r="BT58" t="str">
        <f>HYPERLINK("https%3A%2F%2Fwww.webofscience.com%2Fwos%2Fwoscc%2Ffull-record%2FWOS:001490384700001","View Full Record in Web of Science")</f>
        <v>View Full Record in Web of Science</v>
      </c>
    </row>
    <row r="59" spans="1:72" x14ac:dyDescent="0.15">
      <c r="A59" t="s">
        <v>72</v>
      </c>
      <c r="B59" t="s">
        <v>1383</v>
      </c>
      <c r="C59" t="s">
        <v>74</v>
      </c>
      <c r="D59" t="s">
        <v>74</v>
      </c>
      <c r="E59" t="s">
        <v>74</v>
      </c>
      <c r="F59" t="s">
        <v>1384</v>
      </c>
      <c r="G59" t="s">
        <v>74</v>
      </c>
      <c r="H59" t="s">
        <v>74</v>
      </c>
      <c r="I59" t="s">
        <v>1385</v>
      </c>
      <c r="J59" t="s">
        <v>1363</v>
      </c>
      <c r="K59" t="s">
        <v>74</v>
      </c>
      <c r="L59" t="s">
        <v>74</v>
      </c>
      <c r="M59" t="s">
        <v>78</v>
      </c>
      <c r="N59" t="s">
        <v>79</v>
      </c>
      <c r="O59" t="s">
        <v>74</v>
      </c>
      <c r="P59" t="s">
        <v>74</v>
      </c>
      <c r="Q59" t="s">
        <v>74</v>
      </c>
      <c r="R59" t="s">
        <v>74</v>
      </c>
      <c r="S59" t="s">
        <v>74</v>
      </c>
      <c r="T59" t="s">
        <v>1386</v>
      </c>
      <c r="U59" t="s">
        <v>1387</v>
      </c>
      <c r="V59" t="s">
        <v>1388</v>
      </c>
      <c r="W59" t="s">
        <v>1389</v>
      </c>
      <c r="X59" t="s">
        <v>1390</v>
      </c>
      <c r="Y59" t="s">
        <v>1391</v>
      </c>
      <c r="Z59" t="s">
        <v>1392</v>
      </c>
      <c r="AA59" t="s">
        <v>1393</v>
      </c>
      <c r="AB59" t="s">
        <v>1394</v>
      </c>
      <c r="AC59" t="s">
        <v>1395</v>
      </c>
      <c r="AD59" t="s">
        <v>1396</v>
      </c>
      <c r="AE59" t="s">
        <v>1397</v>
      </c>
      <c r="AF59" t="s">
        <v>74</v>
      </c>
      <c r="AG59">
        <v>26</v>
      </c>
      <c r="AH59">
        <v>4</v>
      </c>
      <c r="AI59">
        <v>5</v>
      </c>
      <c r="AJ59">
        <v>3</v>
      </c>
      <c r="AK59">
        <v>19</v>
      </c>
      <c r="AL59" t="s">
        <v>152</v>
      </c>
      <c r="AM59" t="s">
        <v>153</v>
      </c>
      <c r="AN59" t="s">
        <v>154</v>
      </c>
      <c r="AO59" t="s">
        <v>1375</v>
      </c>
      <c r="AP59" t="s">
        <v>74</v>
      </c>
      <c r="AQ59" t="s">
        <v>74</v>
      </c>
      <c r="AR59" t="s">
        <v>1376</v>
      </c>
      <c r="AS59" t="s">
        <v>1377</v>
      </c>
      <c r="AT59" t="s">
        <v>765</v>
      </c>
      <c r="AU59">
        <v>2024</v>
      </c>
      <c r="AV59">
        <v>6</v>
      </c>
      <c r="AW59">
        <v>18</v>
      </c>
      <c r="AX59" t="s">
        <v>74</v>
      </c>
      <c r="AY59" t="s">
        <v>74</v>
      </c>
      <c r="AZ59" t="s">
        <v>74</v>
      </c>
      <c r="BA59" t="s">
        <v>74</v>
      </c>
      <c r="BB59">
        <v>11420</v>
      </c>
      <c r="BC59">
        <v>11426</v>
      </c>
      <c r="BD59" t="s">
        <v>74</v>
      </c>
      <c r="BE59" t="s">
        <v>1398</v>
      </c>
      <c r="BF59" t="str">
        <f>HYPERLINK("http://dx.doi.org/10.1021/acsapm.4c02012","http://dx.doi.org/10.1021/acsapm.4c02012")</f>
        <v>http://dx.doi.org/10.1021/acsapm.4c02012</v>
      </c>
      <c r="BG59" t="s">
        <v>74</v>
      </c>
      <c r="BH59" t="s">
        <v>101</v>
      </c>
      <c r="BI59">
        <v>7</v>
      </c>
      <c r="BJ59" t="s">
        <v>1379</v>
      </c>
      <c r="BK59" t="s">
        <v>103</v>
      </c>
      <c r="BL59" t="s">
        <v>1380</v>
      </c>
      <c r="BM59" t="s">
        <v>1399</v>
      </c>
      <c r="BN59" t="s">
        <v>74</v>
      </c>
      <c r="BO59" t="s">
        <v>74</v>
      </c>
      <c r="BP59" t="s">
        <v>74</v>
      </c>
      <c r="BQ59" t="s">
        <v>74</v>
      </c>
      <c r="BR59" t="s">
        <v>106</v>
      </c>
      <c r="BS59" t="s">
        <v>1400</v>
      </c>
      <c r="BT59" t="str">
        <f>HYPERLINK("https%3A%2F%2Fwww.webofscience.com%2Fwos%2Fwoscc%2Ffull-record%2FWOS:001312778200001","View Full Record in Web of Science")</f>
        <v>View Full Record in Web of Science</v>
      </c>
    </row>
    <row r="60" spans="1:72" x14ac:dyDescent="0.15">
      <c r="A60" t="s">
        <v>72</v>
      </c>
      <c r="B60" t="s">
        <v>1401</v>
      </c>
      <c r="C60" t="s">
        <v>74</v>
      </c>
      <c r="D60" t="s">
        <v>74</v>
      </c>
      <c r="E60" t="s">
        <v>74</v>
      </c>
      <c r="F60" t="s">
        <v>1402</v>
      </c>
      <c r="G60" t="s">
        <v>74</v>
      </c>
      <c r="H60" t="s">
        <v>74</v>
      </c>
      <c r="I60" t="s">
        <v>1403</v>
      </c>
      <c r="J60" t="s">
        <v>429</v>
      </c>
      <c r="K60" t="s">
        <v>74</v>
      </c>
      <c r="L60" t="s">
        <v>74</v>
      </c>
      <c r="M60" t="s">
        <v>78</v>
      </c>
      <c r="N60" t="s">
        <v>79</v>
      </c>
      <c r="O60" t="s">
        <v>74</v>
      </c>
      <c r="P60" t="s">
        <v>74</v>
      </c>
      <c r="Q60" t="s">
        <v>74</v>
      </c>
      <c r="R60" t="s">
        <v>74</v>
      </c>
      <c r="S60" t="s">
        <v>74</v>
      </c>
      <c r="T60" t="s">
        <v>1404</v>
      </c>
      <c r="U60" t="s">
        <v>1405</v>
      </c>
      <c r="V60" t="s">
        <v>1406</v>
      </c>
      <c r="W60" t="s">
        <v>1407</v>
      </c>
      <c r="X60" t="s">
        <v>1408</v>
      </c>
      <c r="Y60" t="s">
        <v>1409</v>
      </c>
      <c r="Z60" t="s">
        <v>1410</v>
      </c>
      <c r="AA60" t="s">
        <v>1411</v>
      </c>
      <c r="AB60" t="s">
        <v>1412</v>
      </c>
      <c r="AC60" t="s">
        <v>1413</v>
      </c>
      <c r="AD60" t="s">
        <v>1414</v>
      </c>
      <c r="AE60" t="s">
        <v>1415</v>
      </c>
      <c r="AF60" t="s">
        <v>74</v>
      </c>
      <c r="AG60">
        <v>39</v>
      </c>
      <c r="AH60">
        <v>21</v>
      </c>
      <c r="AI60">
        <v>22</v>
      </c>
      <c r="AJ60">
        <v>4</v>
      </c>
      <c r="AK60">
        <v>56</v>
      </c>
      <c r="AL60" t="s">
        <v>152</v>
      </c>
      <c r="AM60" t="s">
        <v>153</v>
      </c>
      <c r="AN60" t="s">
        <v>154</v>
      </c>
      <c r="AO60" t="s">
        <v>440</v>
      </c>
      <c r="AP60" t="s">
        <v>441</v>
      </c>
      <c r="AQ60" t="s">
        <v>74</v>
      </c>
      <c r="AR60" t="s">
        <v>442</v>
      </c>
      <c r="AS60" t="s">
        <v>443</v>
      </c>
      <c r="AT60" t="s">
        <v>365</v>
      </c>
      <c r="AU60">
        <v>2024</v>
      </c>
      <c r="AV60">
        <v>16</v>
      </c>
      <c r="AW60">
        <v>8</v>
      </c>
      <c r="AX60" t="s">
        <v>74</v>
      </c>
      <c r="AY60" t="s">
        <v>74</v>
      </c>
      <c r="AZ60" t="s">
        <v>74</v>
      </c>
      <c r="BA60" t="s">
        <v>74</v>
      </c>
      <c r="BB60">
        <v>10714</v>
      </c>
      <c r="BC60">
        <v>10721</v>
      </c>
      <c r="BD60" t="s">
        <v>74</v>
      </c>
      <c r="BE60" t="s">
        <v>1416</v>
      </c>
      <c r="BF60" t="str">
        <f>HYPERLINK("http://dx.doi.org/10.1021/acsami.3c17986","http://dx.doi.org/10.1021/acsami.3c17986")</f>
        <v>http://dx.doi.org/10.1021/acsami.3c17986</v>
      </c>
      <c r="BG60" t="s">
        <v>74</v>
      </c>
      <c r="BH60" t="s">
        <v>367</v>
      </c>
      <c r="BI60">
        <v>8</v>
      </c>
      <c r="BJ60" t="s">
        <v>446</v>
      </c>
      <c r="BK60" t="s">
        <v>103</v>
      </c>
      <c r="BL60" t="s">
        <v>447</v>
      </c>
      <c r="BM60" t="s">
        <v>1417</v>
      </c>
      <c r="BN60">
        <v>38377540</v>
      </c>
      <c r="BO60" t="s">
        <v>74</v>
      </c>
      <c r="BP60" t="s">
        <v>74</v>
      </c>
      <c r="BQ60" t="s">
        <v>74</v>
      </c>
      <c r="BR60" t="s">
        <v>106</v>
      </c>
      <c r="BS60" t="s">
        <v>1418</v>
      </c>
      <c r="BT60" t="str">
        <f>HYPERLINK("https%3A%2F%2Fwww.webofscience.com%2Fwos%2Fwoscc%2Ffull-record%2FWOS:001173739400001","View Full Record in Web of Science")</f>
        <v>View Full Record in Web of Science</v>
      </c>
    </row>
    <row r="61" spans="1:72" x14ac:dyDescent="0.15">
      <c r="A61" t="s">
        <v>72</v>
      </c>
      <c r="B61" t="s">
        <v>1419</v>
      </c>
      <c r="C61" t="s">
        <v>74</v>
      </c>
      <c r="D61" t="s">
        <v>74</v>
      </c>
      <c r="E61" t="s">
        <v>74</v>
      </c>
      <c r="F61" t="s">
        <v>1420</v>
      </c>
      <c r="G61" t="s">
        <v>74</v>
      </c>
      <c r="H61" t="s">
        <v>74</v>
      </c>
      <c r="I61" t="s">
        <v>1421</v>
      </c>
      <c r="J61" t="s">
        <v>1422</v>
      </c>
      <c r="K61" t="s">
        <v>74</v>
      </c>
      <c r="L61" t="s">
        <v>74</v>
      </c>
      <c r="M61" t="s">
        <v>78</v>
      </c>
      <c r="N61" t="s">
        <v>79</v>
      </c>
      <c r="O61" t="s">
        <v>74</v>
      </c>
      <c r="P61" t="s">
        <v>74</v>
      </c>
      <c r="Q61" t="s">
        <v>74</v>
      </c>
      <c r="R61" t="s">
        <v>74</v>
      </c>
      <c r="S61" t="s">
        <v>74</v>
      </c>
      <c r="T61" t="s">
        <v>1423</v>
      </c>
      <c r="U61" t="s">
        <v>1424</v>
      </c>
      <c r="V61" t="s">
        <v>1425</v>
      </c>
      <c r="W61" t="s">
        <v>1426</v>
      </c>
      <c r="X61" t="s">
        <v>1427</v>
      </c>
      <c r="Y61" t="s">
        <v>458</v>
      </c>
      <c r="Z61" t="s">
        <v>459</v>
      </c>
      <c r="AA61" t="s">
        <v>1428</v>
      </c>
      <c r="AB61" t="s">
        <v>1429</v>
      </c>
      <c r="AC61" t="s">
        <v>1430</v>
      </c>
      <c r="AD61" t="s">
        <v>1431</v>
      </c>
      <c r="AE61" t="s">
        <v>1432</v>
      </c>
      <c r="AF61" t="s">
        <v>74</v>
      </c>
      <c r="AG61">
        <v>80</v>
      </c>
      <c r="AH61">
        <v>8</v>
      </c>
      <c r="AI61">
        <v>10</v>
      </c>
      <c r="AJ61">
        <v>8</v>
      </c>
      <c r="AK61">
        <v>46</v>
      </c>
      <c r="AL61" t="s">
        <v>152</v>
      </c>
      <c r="AM61" t="s">
        <v>153</v>
      </c>
      <c r="AN61" t="s">
        <v>154</v>
      </c>
      <c r="AO61" t="s">
        <v>1433</v>
      </c>
      <c r="AP61" t="s">
        <v>1434</v>
      </c>
      <c r="AQ61" t="s">
        <v>74</v>
      </c>
      <c r="AR61" t="s">
        <v>1422</v>
      </c>
      <c r="AS61" t="s">
        <v>1435</v>
      </c>
      <c r="AT61" t="s">
        <v>1436</v>
      </c>
      <c r="AU61">
        <v>2025</v>
      </c>
      <c r="AV61">
        <v>19</v>
      </c>
      <c r="AW61">
        <v>2</v>
      </c>
      <c r="AX61" t="s">
        <v>74</v>
      </c>
      <c r="AY61" t="s">
        <v>74</v>
      </c>
      <c r="AZ61" t="s">
        <v>74</v>
      </c>
      <c r="BA61" t="s">
        <v>74</v>
      </c>
      <c r="BB61">
        <v>2559</v>
      </c>
      <c r="BC61">
        <v>2569</v>
      </c>
      <c r="BD61" t="s">
        <v>74</v>
      </c>
      <c r="BE61" t="s">
        <v>1437</v>
      </c>
      <c r="BF61" t="str">
        <f>HYPERLINK("http://dx.doi.org/10.1021/acsnano.4c14234","http://dx.doi.org/10.1021/acsnano.4c14234")</f>
        <v>http://dx.doi.org/10.1021/acsnano.4c14234</v>
      </c>
      <c r="BG61" t="s">
        <v>74</v>
      </c>
      <c r="BH61" t="s">
        <v>1232</v>
      </c>
      <c r="BI61">
        <v>11</v>
      </c>
      <c r="BJ61" t="s">
        <v>1438</v>
      </c>
      <c r="BK61" t="s">
        <v>103</v>
      </c>
      <c r="BL61" t="s">
        <v>556</v>
      </c>
      <c r="BM61" t="s">
        <v>1439</v>
      </c>
      <c r="BN61">
        <v>39787004</v>
      </c>
      <c r="BO61" t="s">
        <v>74</v>
      </c>
      <c r="BP61" t="s">
        <v>74</v>
      </c>
      <c r="BQ61" t="s">
        <v>74</v>
      </c>
      <c r="BR61" t="s">
        <v>106</v>
      </c>
      <c r="BS61" t="s">
        <v>1440</v>
      </c>
      <c r="BT61" t="str">
        <f>HYPERLINK("https%3A%2F%2Fwww.webofscience.com%2Fwos%2Fwoscc%2Ffull-record%2FWOS:001393327700001","View Full Record in Web of Science")</f>
        <v>View Full Record in Web of Science</v>
      </c>
    </row>
    <row r="62" spans="1:72" x14ac:dyDescent="0.15">
      <c r="A62" t="s">
        <v>72</v>
      </c>
      <c r="B62" t="s">
        <v>1441</v>
      </c>
      <c r="C62" t="s">
        <v>74</v>
      </c>
      <c r="D62" t="s">
        <v>74</v>
      </c>
      <c r="E62" t="s">
        <v>74</v>
      </c>
      <c r="F62" t="s">
        <v>1442</v>
      </c>
      <c r="G62" t="s">
        <v>74</v>
      </c>
      <c r="H62" t="s">
        <v>74</v>
      </c>
      <c r="I62" t="s">
        <v>1443</v>
      </c>
      <c r="J62" t="s">
        <v>1444</v>
      </c>
      <c r="K62" t="s">
        <v>74</v>
      </c>
      <c r="L62" t="s">
        <v>74</v>
      </c>
      <c r="M62" t="s">
        <v>78</v>
      </c>
      <c r="N62" t="s">
        <v>79</v>
      </c>
      <c r="O62" t="s">
        <v>74</v>
      </c>
      <c r="P62" t="s">
        <v>74</v>
      </c>
      <c r="Q62" t="s">
        <v>74</v>
      </c>
      <c r="R62" t="s">
        <v>74</v>
      </c>
      <c r="S62" t="s">
        <v>74</v>
      </c>
      <c r="T62" t="s">
        <v>1445</v>
      </c>
      <c r="U62" t="s">
        <v>1446</v>
      </c>
      <c r="V62" t="s">
        <v>1447</v>
      </c>
      <c r="W62" t="s">
        <v>1448</v>
      </c>
      <c r="X62" t="s">
        <v>1449</v>
      </c>
      <c r="Y62" t="s">
        <v>1450</v>
      </c>
      <c r="Z62" t="s">
        <v>1451</v>
      </c>
      <c r="AA62" t="s">
        <v>1452</v>
      </c>
      <c r="AB62" t="s">
        <v>1453</v>
      </c>
      <c r="AC62" t="s">
        <v>1454</v>
      </c>
      <c r="AD62" t="s">
        <v>1455</v>
      </c>
      <c r="AE62" t="s">
        <v>1456</v>
      </c>
      <c r="AF62" t="s">
        <v>74</v>
      </c>
      <c r="AG62">
        <v>62</v>
      </c>
      <c r="AH62">
        <v>3</v>
      </c>
      <c r="AI62">
        <v>3</v>
      </c>
      <c r="AJ62">
        <v>1</v>
      </c>
      <c r="AK62">
        <v>16</v>
      </c>
      <c r="AL62" t="s">
        <v>1457</v>
      </c>
      <c r="AM62" t="s">
        <v>1458</v>
      </c>
      <c r="AN62" t="s">
        <v>1459</v>
      </c>
      <c r="AO62" t="s">
        <v>1460</v>
      </c>
      <c r="AP62" t="s">
        <v>1461</v>
      </c>
      <c r="AQ62" t="s">
        <v>74</v>
      </c>
      <c r="AR62" t="s">
        <v>1462</v>
      </c>
      <c r="AS62" t="s">
        <v>1463</v>
      </c>
      <c r="AT62" t="s">
        <v>1464</v>
      </c>
      <c r="AU62">
        <v>2025</v>
      </c>
      <c r="AV62">
        <v>88</v>
      </c>
      <c r="AW62">
        <v>1</v>
      </c>
      <c r="AX62" t="s">
        <v>74</v>
      </c>
      <c r="AY62" t="s">
        <v>74</v>
      </c>
      <c r="AZ62" t="s">
        <v>74</v>
      </c>
      <c r="BA62" t="s">
        <v>74</v>
      </c>
      <c r="BB62" t="s">
        <v>74</v>
      </c>
      <c r="BC62" t="s">
        <v>74</v>
      </c>
      <c r="BD62">
        <v>10501</v>
      </c>
      <c r="BE62" t="s">
        <v>1465</v>
      </c>
      <c r="BF62" t="str">
        <f>HYPERLINK("http://dx.doi.org/10.1088/1361-6633/ad99fd","http://dx.doi.org/10.1088/1361-6633/ad99fd")</f>
        <v>http://dx.doi.org/10.1088/1361-6633/ad99fd</v>
      </c>
      <c r="BG62" t="s">
        <v>74</v>
      </c>
      <c r="BH62" t="s">
        <v>74</v>
      </c>
      <c r="BI62">
        <v>7</v>
      </c>
      <c r="BJ62" t="s">
        <v>1466</v>
      </c>
      <c r="BK62" t="s">
        <v>103</v>
      </c>
      <c r="BL62" t="s">
        <v>654</v>
      </c>
      <c r="BM62" t="s">
        <v>1467</v>
      </c>
      <c r="BN62">
        <v>39626351</v>
      </c>
      <c r="BO62" t="s">
        <v>344</v>
      </c>
      <c r="BP62" t="s">
        <v>74</v>
      </c>
      <c r="BQ62" t="s">
        <v>74</v>
      </c>
      <c r="BR62" t="s">
        <v>106</v>
      </c>
      <c r="BS62" t="s">
        <v>1468</v>
      </c>
      <c r="BT62" t="str">
        <f>HYPERLINK("https%3A%2F%2Fwww.webofscience.com%2Fwos%2Fwoscc%2Ffull-record%2FWOS:001375483800001","View Full Record in Web of Science")</f>
        <v>View Full Record in Web of Science</v>
      </c>
    </row>
    <row r="63" spans="1:72" x14ac:dyDescent="0.15">
      <c r="A63" t="s">
        <v>72</v>
      </c>
      <c r="B63" t="s">
        <v>1469</v>
      </c>
      <c r="C63" t="s">
        <v>74</v>
      </c>
      <c r="D63" t="s">
        <v>74</v>
      </c>
      <c r="E63" t="s">
        <v>74</v>
      </c>
      <c r="F63" t="s">
        <v>1470</v>
      </c>
      <c r="G63" t="s">
        <v>74</v>
      </c>
      <c r="H63" t="s">
        <v>74</v>
      </c>
      <c r="I63" t="s">
        <v>1471</v>
      </c>
      <c r="J63" t="s">
        <v>678</v>
      </c>
      <c r="K63" t="s">
        <v>74</v>
      </c>
      <c r="L63" t="s">
        <v>74</v>
      </c>
      <c r="M63" t="s">
        <v>78</v>
      </c>
      <c r="N63" t="s">
        <v>79</v>
      </c>
      <c r="O63" t="s">
        <v>74</v>
      </c>
      <c r="P63" t="s">
        <v>74</v>
      </c>
      <c r="Q63" t="s">
        <v>74</v>
      </c>
      <c r="R63" t="s">
        <v>74</v>
      </c>
      <c r="S63" t="s">
        <v>74</v>
      </c>
      <c r="T63" t="s">
        <v>1472</v>
      </c>
      <c r="U63" t="s">
        <v>1473</v>
      </c>
      <c r="V63" t="s">
        <v>1474</v>
      </c>
      <c r="W63" t="s">
        <v>1475</v>
      </c>
      <c r="X63" t="s">
        <v>145</v>
      </c>
      <c r="Y63" t="s">
        <v>813</v>
      </c>
      <c r="Z63" t="s">
        <v>173</v>
      </c>
      <c r="AA63" t="s">
        <v>1476</v>
      </c>
      <c r="AB63" t="s">
        <v>1477</v>
      </c>
      <c r="AC63" t="s">
        <v>1478</v>
      </c>
      <c r="AD63" t="s">
        <v>1479</v>
      </c>
      <c r="AE63" t="s">
        <v>1480</v>
      </c>
      <c r="AF63" t="s">
        <v>74</v>
      </c>
      <c r="AG63">
        <v>50</v>
      </c>
      <c r="AH63">
        <v>12</v>
      </c>
      <c r="AI63">
        <v>12</v>
      </c>
      <c r="AJ63">
        <v>40</v>
      </c>
      <c r="AK63">
        <v>115</v>
      </c>
      <c r="AL63" t="s">
        <v>179</v>
      </c>
      <c r="AM63" t="s">
        <v>180</v>
      </c>
      <c r="AN63" t="s">
        <v>181</v>
      </c>
      <c r="AO63" t="s">
        <v>689</v>
      </c>
      <c r="AP63" t="s">
        <v>690</v>
      </c>
      <c r="AQ63" t="s">
        <v>74</v>
      </c>
      <c r="AR63" t="s">
        <v>691</v>
      </c>
      <c r="AS63" t="s">
        <v>692</v>
      </c>
      <c r="AT63" t="s">
        <v>1481</v>
      </c>
      <c r="AU63">
        <v>2025</v>
      </c>
      <c r="AV63">
        <v>35</v>
      </c>
      <c r="AW63">
        <v>24</v>
      </c>
      <c r="AX63" t="s">
        <v>74</v>
      </c>
      <c r="AY63" t="s">
        <v>74</v>
      </c>
      <c r="AZ63" t="s">
        <v>74</v>
      </c>
      <c r="BA63" t="s">
        <v>74</v>
      </c>
      <c r="BB63" t="s">
        <v>74</v>
      </c>
      <c r="BC63" t="s">
        <v>74</v>
      </c>
      <c r="BD63" t="s">
        <v>74</v>
      </c>
      <c r="BE63" t="s">
        <v>1482</v>
      </c>
      <c r="BF63" t="str">
        <f>HYPERLINK("http://dx.doi.org/10.1002/adfm.202422176","http://dx.doi.org/10.1002/adfm.202422176")</f>
        <v>http://dx.doi.org/10.1002/adfm.202422176</v>
      </c>
      <c r="BG63" t="s">
        <v>74</v>
      </c>
      <c r="BH63" t="s">
        <v>1022</v>
      </c>
      <c r="BI63">
        <v>12</v>
      </c>
      <c r="BJ63" t="s">
        <v>605</v>
      </c>
      <c r="BK63" t="s">
        <v>103</v>
      </c>
      <c r="BL63" t="s">
        <v>606</v>
      </c>
      <c r="BM63" t="s">
        <v>1483</v>
      </c>
      <c r="BN63" t="s">
        <v>74</v>
      </c>
      <c r="BO63" t="s">
        <v>344</v>
      </c>
      <c r="BP63" t="s">
        <v>74</v>
      </c>
      <c r="BQ63" t="s">
        <v>74</v>
      </c>
      <c r="BR63" t="s">
        <v>106</v>
      </c>
      <c r="BS63" t="s">
        <v>1484</v>
      </c>
      <c r="BT63" t="str">
        <f>HYPERLINK("https%3A%2F%2Fwww.webofscience.com%2Fwos%2Fwoscc%2Ffull-record%2FWOS:001380226800001","View Full Record in Web of Science")</f>
        <v>View Full Record in Web of Science</v>
      </c>
    </row>
    <row r="64" spans="1:72" x14ac:dyDescent="0.15">
      <c r="A64" t="s">
        <v>72</v>
      </c>
      <c r="B64" t="s">
        <v>1485</v>
      </c>
      <c r="C64" t="s">
        <v>74</v>
      </c>
      <c r="D64" t="s">
        <v>74</v>
      </c>
      <c r="E64" t="s">
        <v>74</v>
      </c>
      <c r="F64" t="s">
        <v>1486</v>
      </c>
      <c r="G64" t="s">
        <v>74</v>
      </c>
      <c r="H64" t="s">
        <v>74</v>
      </c>
      <c r="I64" t="s">
        <v>1487</v>
      </c>
      <c r="J64" t="s">
        <v>1488</v>
      </c>
      <c r="K64" t="s">
        <v>74</v>
      </c>
      <c r="L64" t="s">
        <v>74</v>
      </c>
      <c r="M64" t="s">
        <v>78</v>
      </c>
      <c r="N64" t="s">
        <v>79</v>
      </c>
      <c r="O64" t="s">
        <v>74</v>
      </c>
      <c r="P64" t="s">
        <v>74</v>
      </c>
      <c r="Q64" t="s">
        <v>74</v>
      </c>
      <c r="R64" t="s">
        <v>74</v>
      </c>
      <c r="S64" t="s">
        <v>74</v>
      </c>
      <c r="T64" t="s">
        <v>74</v>
      </c>
      <c r="U64" t="s">
        <v>1489</v>
      </c>
      <c r="V64" t="s">
        <v>1490</v>
      </c>
      <c r="W64" t="s">
        <v>1491</v>
      </c>
      <c r="X64" t="s">
        <v>1326</v>
      </c>
      <c r="Y64" t="s">
        <v>1492</v>
      </c>
      <c r="Z64" t="s">
        <v>1493</v>
      </c>
      <c r="AA64" t="s">
        <v>1494</v>
      </c>
      <c r="AB64" t="s">
        <v>1495</v>
      </c>
      <c r="AC64" t="s">
        <v>1496</v>
      </c>
      <c r="AD64" t="s">
        <v>1497</v>
      </c>
      <c r="AE64" t="s">
        <v>1498</v>
      </c>
      <c r="AF64" t="s">
        <v>74</v>
      </c>
      <c r="AG64">
        <v>43</v>
      </c>
      <c r="AH64">
        <v>0</v>
      </c>
      <c r="AI64">
        <v>0</v>
      </c>
      <c r="AJ64">
        <v>0</v>
      </c>
      <c r="AK64">
        <v>0</v>
      </c>
      <c r="AL64" t="s">
        <v>491</v>
      </c>
      <c r="AM64" t="s">
        <v>124</v>
      </c>
      <c r="AN64" t="s">
        <v>492</v>
      </c>
      <c r="AO64" t="s">
        <v>1499</v>
      </c>
      <c r="AP64" t="s">
        <v>1500</v>
      </c>
      <c r="AQ64" t="s">
        <v>74</v>
      </c>
      <c r="AR64" t="s">
        <v>1501</v>
      </c>
      <c r="AS64" t="s">
        <v>1502</v>
      </c>
      <c r="AT64" t="s">
        <v>1503</v>
      </c>
      <c r="AU64">
        <v>2026</v>
      </c>
      <c r="AV64">
        <v>14</v>
      </c>
      <c r="AW64">
        <v>15</v>
      </c>
      <c r="AX64" t="s">
        <v>74</v>
      </c>
      <c r="AY64" t="s">
        <v>74</v>
      </c>
      <c r="AZ64" t="s">
        <v>74</v>
      </c>
      <c r="BA64" t="s">
        <v>74</v>
      </c>
      <c r="BB64">
        <v>4740</v>
      </c>
      <c r="BC64">
        <v>4754</v>
      </c>
      <c r="BD64" t="s">
        <v>74</v>
      </c>
      <c r="BE64" t="s">
        <v>1504</v>
      </c>
      <c r="BF64" t="str">
        <f>HYPERLINK("http://dx.doi.org/10.1039/d5tb02537k","http://dx.doi.org/10.1039/d5tb02537k")</f>
        <v>http://dx.doi.org/10.1039/d5tb02537k</v>
      </c>
      <c r="BG64" t="s">
        <v>74</v>
      </c>
      <c r="BH64" t="s">
        <v>604</v>
      </c>
      <c r="BI64">
        <v>15</v>
      </c>
      <c r="BJ64" t="s">
        <v>1505</v>
      </c>
      <c r="BK64" t="s">
        <v>103</v>
      </c>
      <c r="BL64" t="s">
        <v>369</v>
      </c>
      <c r="BM64" t="s">
        <v>1506</v>
      </c>
      <c r="BN64">
        <v>41948829</v>
      </c>
      <c r="BO64" t="s">
        <v>136</v>
      </c>
      <c r="BP64" t="s">
        <v>74</v>
      </c>
      <c r="BQ64" t="s">
        <v>74</v>
      </c>
      <c r="BR64" t="s">
        <v>106</v>
      </c>
      <c r="BS64" t="s">
        <v>1507</v>
      </c>
      <c r="BT64" t="str">
        <f>HYPERLINK("https%3A%2F%2Fwww.webofscience.com%2Fwos%2Fwoscc%2Ffull-record%2FWOS:001734536000001","View Full Record in Web of Science")</f>
        <v>View Full Record in Web of Science</v>
      </c>
    </row>
    <row r="65" spans="1:72" x14ac:dyDescent="0.15">
      <c r="A65" t="s">
        <v>72</v>
      </c>
      <c r="B65" t="s">
        <v>1508</v>
      </c>
      <c r="C65" t="s">
        <v>74</v>
      </c>
      <c r="D65" t="s">
        <v>74</v>
      </c>
      <c r="E65" t="s">
        <v>74</v>
      </c>
      <c r="F65" t="s">
        <v>1509</v>
      </c>
      <c r="G65" t="s">
        <v>74</v>
      </c>
      <c r="H65" t="s">
        <v>74</v>
      </c>
      <c r="I65" t="s">
        <v>1510</v>
      </c>
      <c r="J65" t="s">
        <v>453</v>
      </c>
      <c r="K65" t="s">
        <v>74</v>
      </c>
      <c r="L65" t="s">
        <v>74</v>
      </c>
      <c r="M65" t="s">
        <v>78</v>
      </c>
      <c r="N65" t="s">
        <v>79</v>
      </c>
      <c r="O65" t="s">
        <v>74</v>
      </c>
      <c r="P65" t="s">
        <v>74</v>
      </c>
      <c r="Q65" t="s">
        <v>74</v>
      </c>
      <c r="R65" t="s">
        <v>74</v>
      </c>
      <c r="S65" t="s">
        <v>74</v>
      </c>
      <c r="T65" t="s">
        <v>1511</v>
      </c>
      <c r="U65" t="s">
        <v>1512</v>
      </c>
      <c r="V65" t="s">
        <v>1513</v>
      </c>
      <c r="W65" t="s">
        <v>1514</v>
      </c>
      <c r="X65" t="s">
        <v>1515</v>
      </c>
      <c r="Y65" t="s">
        <v>1516</v>
      </c>
      <c r="Z65" t="s">
        <v>893</v>
      </c>
      <c r="AA65" t="s">
        <v>74</v>
      </c>
      <c r="AB65" t="s">
        <v>1517</v>
      </c>
      <c r="AC65" t="s">
        <v>1518</v>
      </c>
      <c r="AD65" t="s">
        <v>1519</v>
      </c>
      <c r="AE65" t="s">
        <v>1520</v>
      </c>
      <c r="AF65" t="s">
        <v>74</v>
      </c>
      <c r="AG65">
        <v>115</v>
      </c>
      <c r="AH65">
        <v>3</v>
      </c>
      <c r="AI65">
        <v>3</v>
      </c>
      <c r="AJ65">
        <v>0</v>
      </c>
      <c r="AK65">
        <v>6</v>
      </c>
      <c r="AL65" t="s">
        <v>465</v>
      </c>
      <c r="AM65" t="s">
        <v>153</v>
      </c>
      <c r="AN65" t="s">
        <v>466</v>
      </c>
      <c r="AO65" t="s">
        <v>467</v>
      </c>
      <c r="AP65" t="s">
        <v>468</v>
      </c>
      <c r="AQ65" t="s">
        <v>74</v>
      </c>
      <c r="AR65" t="s">
        <v>469</v>
      </c>
      <c r="AS65" t="s">
        <v>470</v>
      </c>
      <c r="AT65" t="s">
        <v>471</v>
      </c>
      <c r="AU65">
        <v>2024</v>
      </c>
      <c r="AV65">
        <v>121</v>
      </c>
      <c r="AW65">
        <v>39</v>
      </c>
      <c r="AX65" t="s">
        <v>74</v>
      </c>
      <c r="AY65" t="s">
        <v>74</v>
      </c>
      <c r="AZ65" t="s">
        <v>74</v>
      </c>
      <c r="BA65" t="s">
        <v>74</v>
      </c>
      <c r="BB65" t="s">
        <v>74</v>
      </c>
      <c r="BC65" t="s">
        <v>74</v>
      </c>
      <c r="BD65" t="s">
        <v>1521</v>
      </c>
      <c r="BE65" t="s">
        <v>1522</v>
      </c>
      <c r="BF65" t="str">
        <f>HYPERLINK("http://dx.doi.org/10.1073/pnas.2404586121","http://dx.doi.org/10.1073/pnas.2404586121")</f>
        <v>http://dx.doi.org/10.1073/pnas.2404586121</v>
      </c>
      <c r="BG65" t="s">
        <v>74</v>
      </c>
      <c r="BH65" t="s">
        <v>74</v>
      </c>
      <c r="BI65">
        <v>10</v>
      </c>
      <c r="BJ65" t="s">
        <v>300</v>
      </c>
      <c r="BK65" t="s">
        <v>103</v>
      </c>
      <c r="BL65" t="s">
        <v>301</v>
      </c>
      <c r="BM65" t="s">
        <v>1523</v>
      </c>
      <c r="BN65">
        <v>39292750</v>
      </c>
      <c r="BO65" t="s">
        <v>136</v>
      </c>
      <c r="BP65" t="s">
        <v>74</v>
      </c>
      <c r="BQ65" t="s">
        <v>74</v>
      </c>
      <c r="BR65" t="s">
        <v>106</v>
      </c>
      <c r="BS65" t="s">
        <v>1524</v>
      </c>
      <c r="BT65" t="str">
        <f>HYPERLINK("https%3A%2F%2Fwww.webofscience.com%2Fwos%2Fwoscc%2Ffull-record%2FWOS:001350182500004","View Full Record in Web of Science")</f>
        <v>View Full Record in Web of Science</v>
      </c>
    </row>
    <row r="66" spans="1:72" x14ac:dyDescent="0.15">
      <c r="A66" t="s">
        <v>72</v>
      </c>
      <c r="B66" t="s">
        <v>1525</v>
      </c>
      <c r="C66" t="s">
        <v>74</v>
      </c>
      <c r="D66" t="s">
        <v>74</v>
      </c>
      <c r="E66" t="s">
        <v>74</v>
      </c>
      <c r="F66" t="s">
        <v>1526</v>
      </c>
      <c r="G66" t="s">
        <v>74</v>
      </c>
      <c r="H66" t="s">
        <v>74</v>
      </c>
      <c r="I66" t="s">
        <v>1527</v>
      </c>
      <c r="J66" t="s">
        <v>141</v>
      </c>
      <c r="K66" t="s">
        <v>74</v>
      </c>
      <c r="L66" t="s">
        <v>74</v>
      </c>
      <c r="M66" t="s">
        <v>78</v>
      </c>
      <c r="N66" t="s">
        <v>79</v>
      </c>
      <c r="O66" t="s">
        <v>74</v>
      </c>
      <c r="P66" t="s">
        <v>74</v>
      </c>
      <c r="Q66" t="s">
        <v>74</v>
      </c>
      <c r="R66" t="s">
        <v>74</v>
      </c>
      <c r="S66" t="s">
        <v>74</v>
      </c>
      <c r="T66" t="s">
        <v>74</v>
      </c>
      <c r="U66" t="s">
        <v>1528</v>
      </c>
      <c r="V66" t="s">
        <v>1529</v>
      </c>
      <c r="W66" t="s">
        <v>1530</v>
      </c>
      <c r="X66" t="s">
        <v>1531</v>
      </c>
      <c r="Y66" t="s">
        <v>1532</v>
      </c>
      <c r="Z66" t="s">
        <v>1011</v>
      </c>
      <c r="AA66" t="s">
        <v>1533</v>
      </c>
      <c r="AB66" t="s">
        <v>1534</v>
      </c>
      <c r="AC66" t="s">
        <v>1535</v>
      </c>
      <c r="AD66" t="s">
        <v>1536</v>
      </c>
      <c r="AE66" t="s">
        <v>1537</v>
      </c>
      <c r="AF66" t="s">
        <v>74</v>
      </c>
      <c r="AG66">
        <v>65</v>
      </c>
      <c r="AH66">
        <v>1</v>
      </c>
      <c r="AI66">
        <v>1</v>
      </c>
      <c r="AJ66">
        <v>0</v>
      </c>
      <c r="AK66">
        <v>15</v>
      </c>
      <c r="AL66" t="s">
        <v>152</v>
      </c>
      <c r="AM66" t="s">
        <v>153</v>
      </c>
      <c r="AN66" t="s">
        <v>154</v>
      </c>
      <c r="AO66" t="s">
        <v>155</v>
      </c>
      <c r="AP66" t="s">
        <v>156</v>
      </c>
      <c r="AQ66" t="s">
        <v>74</v>
      </c>
      <c r="AR66" t="s">
        <v>141</v>
      </c>
      <c r="AS66" t="s">
        <v>157</v>
      </c>
      <c r="AT66" t="s">
        <v>1538</v>
      </c>
      <c r="AU66">
        <v>2024</v>
      </c>
      <c r="AV66">
        <v>58</v>
      </c>
      <c r="AW66">
        <v>1</v>
      </c>
      <c r="AX66" t="s">
        <v>74</v>
      </c>
      <c r="AY66" t="s">
        <v>74</v>
      </c>
      <c r="AZ66" t="s">
        <v>74</v>
      </c>
      <c r="BA66" t="s">
        <v>74</v>
      </c>
      <c r="BB66">
        <v>334</v>
      </c>
      <c r="BC66">
        <v>342</v>
      </c>
      <c r="BD66" t="s">
        <v>74</v>
      </c>
      <c r="BE66" t="s">
        <v>1539</v>
      </c>
      <c r="BF66" t="str">
        <f>HYPERLINK("http://dx.doi.org/10.1021/acs.macromol.4c01659","http://dx.doi.org/10.1021/acs.macromol.4c01659")</f>
        <v>http://dx.doi.org/10.1021/acs.macromol.4c01659</v>
      </c>
      <c r="BG66" t="s">
        <v>74</v>
      </c>
      <c r="BH66" t="s">
        <v>1022</v>
      </c>
      <c r="BI66">
        <v>9</v>
      </c>
      <c r="BJ66" t="s">
        <v>102</v>
      </c>
      <c r="BK66" t="s">
        <v>103</v>
      </c>
      <c r="BL66" t="s">
        <v>102</v>
      </c>
      <c r="BM66" t="s">
        <v>1540</v>
      </c>
      <c r="BN66" t="s">
        <v>74</v>
      </c>
      <c r="BO66" t="s">
        <v>74</v>
      </c>
      <c r="BP66" t="s">
        <v>74</v>
      </c>
      <c r="BQ66" t="s">
        <v>74</v>
      </c>
      <c r="BR66" t="s">
        <v>106</v>
      </c>
      <c r="BS66" t="s">
        <v>1541</v>
      </c>
      <c r="BT66" t="str">
        <f>HYPERLINK("https%3A%2F%2Fwww.webofscience.com%2Fwos%2Fwoscc%2Ffull-record%2FWOS:001387052900001","View Full Record in Web of Science")</f>
        <v>View Full Record in Web of Science</v>
      </c>
    </row>
    <row r="67" spans="1:72" x14ac:dyDescent="0.15">
      <c r="A67" t="s">
        <v>72</v>
      </c>
      <c r="B67" t="s">
        <v>1542</v>
      </c>
      <c r="C67" t="s">
        <v>74</v>
      </c>
      <c r="D67" t="s">
        <v>74</v>
      </c>
      <c r="E67" t="s">
        <v>74</v>
      </c>
      <c r="F67" t="s">
        <v>1543</v>
      </c>
      <c r="G67" t="s">
        <v>74</v>
      </c>
      <c r="H67" t="s">
        <v>74</v>
      </c>
      <c r="I67" t="s">
        <v>1544</v>
      </c>
      <c r="J67" t="s">
        <v>1281</v>
      </c>
      <c r="K67" t="s">
        <v>74</v>
      </c>
      <c r="L67" t="s">
        <v>74</v>
      </c>
      <c r="M67" t="s">
        <v>78</v>
      </c>
      <c r="N67" t="s">
        <v>79</v>
      </c>
      <c r="O67" t="s">
        <v>74</v>
      </c>
      <c r="P67" t="s">
        <v>74</v>
      </c>
      <c r="Q67" t="s">
        <v>74</v>
      </c>
      <c r="R67" t="s">
        <v>74</v>
      </c>
      <c r="S67" t="s">
        <v>74</v>
      </c>
      <c r="T67" t="s">
        <v>1545</v>
      </c>
      <c r="U67" t="s">
        <v>1546</v>
      </c>
      <c r="V67" t="s">
        <v>1547</v>
      </c>
      <c r="W67" t="s">
        <v>1548</v>
      </c>
      <c r="X67" t="s">
        <v>984</v>
      </c>
      <c r="Y67" t="s">
        <v>1549</v>
      </c>
      <c r="Z67" t="s">
        <v>1550</v>
      </c>
      <c r="AA67" t="s">
        <v>987</v>
      </c>
      <c r="AB67" t="s">
        <v>1551</v>
      </c>
      <c r="AC67" t="s">
        <v>1552</v>
      </c>
      <c r="AD67" t="s">
        <v>1553</v>
      </c>
      <c r="AE67" t="s">
        <v>1554</v>
      </c>
      <c r="AF67" t="s">
        <v>74</v>
      </c>
      <c r="AG67">
        <v>110</v>
      </c>
      <c r="AH67">
        <v>4</v>
      </c>
      <c r="AI67">
        <v>4</v>
      </c>
      <c r="AJ67">
        <v>4</v>
      </c>
      <c r="AK67">
        <v>14</v>
      </c>
      <c r="AL67" t="s">
        <v>1293</v>
      </c>
      <c r="AM67" t="s">
        <v>1294</v>
      </c>
      <c r="AN67" t="s">
        <v>1295</v>
      </c>
      <c r="AO67" t="s">
        <v>1296</v>
      </c>
      <c r="AP67" t="s">
        <v>1297</v>
      </c>
      <c r="AQ67" t="s">
        <v>74</v>
      </c>
      <c r="AR67" t="s">
        <v>1298</v>
      </c>
      <c r="AS67" t="s">
        <v>1299</v>
      </c>
      <c r="AT67" t="s">
        <v>1555</v>
      </c>
      <c r="AU67">
        <v>2024</v>
      </c>
      <c r="AV67">
        <v>499</v>
      </c>
      <c r="AW67" t="s">
        <v>74</v>
      </c>
      <c r="AX67" t="s">
        <v>74</v>
      </c>
      <c r="AY67" t="s">
        <v>74</v>
      </c>
      <c r="AZ67" t="s">
        <v>74</v>
      </c>
      <c r="BA67" t="s">
        <v>74</v>
      </c>
      <c r="BB67" t="s">
        <v>74</v>
      </c>
      <c r="BC67" t="s">
        <v>74</v>
      </c>
      <c r="BD67">
        <v>155942</v>
      </c>
      <c r="BE67" t="s">
        <v>1556</v>
      </c>
      <c r="BF67" t="str">
        <f>HYPERLINK("http://dx.doi.org/10.1016/j.cej.2024.155942","http://dx.doi.org/10.1016/j.cej.2024.155942")</f>
        <v>http://dx.doi.org/10.1016/j.cej.2024.155942</v>
      </c>
      <c r="BG67" t="s">
        <v>74</v>
      </c>
      <c r="BH67" t="s">
        <v>101</v>
      </c>
      <c r="BI67">
        <v>12</v>
      </c>
      <c r="BJ67" t="s">
        <v>1303</v>
      </c>
      <c r="BK67" t="s">
        <v>103</v>
      </c>
      <c r="BL67" t="s">
        <v>396</v>
      </c>
      <c r="BM67" t="s">
        <v>1557</v>
      </c>
      <c r="BN67" t="s">
        <v>74</v>
      </c>
      <c r="BO67" t="s">
        <v>74</v>
      </c>
      <c r="BP67" t="s">
        <v>74</v>
      </c>
      <c r="BQ67" t="s">
        <v>74</v>
      </c>
      <c r="BR67" t="s">
        <v>106</v>
      </c>
      <c r="BS67" t="s">
        <v>1558</v>
      </c>
      <c r="BT67" t="str">
        <f>HYPERLINK("https%3A%2F%2Fwww.webofscience.com%2Fwos%2Fwoscc%2Ffull-record%2FWOS:001322390300001","View Full Record in Web of Science")</f>
        <v>View Full Record in Web of Science</v>
      </c>
    </row>
    <row r="68" spans="1:72" x14ac:dyDescent="0.15">
      <c r="A68" t="s">
        <v>72</v>
      </c>
      <c r="B68" t="s">
        <v>1559</v>
      </c>
      <c r="C68" t="s">
        <v>74</v>
      </c>
      <c r="D68" t="s">
        <v>74</v>
      </c>
      <c r="E68" t="s">
        <v>74</v>
      </c>
      <c r="F68" t="s">
        <v>1560</v>
      </c>
      <c r="G68" t="s">
        <v>74</v>
      </c>
      <c r="H68" t="s">
        <v>74</v>
      </c>
      <c r="I68" t="s">
        <v>1561</v>
      </c>
      <c r="J68" t="s">
        <v>1562</v>
      </c>
      <c r="K68" t="s">
        <v>74</v>
      </c>
      <c r="L68" t="s">
        <v>74</v>
      </c>
      <c r="M68" t="s">
        <v>78</v>
      </c>
      <c r="N68" t="s">
        <v>79</v>
      </c>
      <c r="O68" t="s">
        <v>74</v>
      </c>
      <c r="P68" t="s">
        <v>74</v>
      </c>
      <c r="Q68" t="s">
        <v>74</v>
      </c>
      <c r="R68" t="s">
        <v>74</v>
      </c>
      <c r="S68" t="s">
        <v>74</v>
      </c>
      <c r="T68" t="s">
        <v>74</v>
      </c>
      <c r="U68" t="s">
        <v>74</v>
      </c>
      <c r="V68" t="s">
        <v>1563</v>
      </c>
      <c r="W68" t="s">
        <v>1564</v>
      </c>
      <c r="X68" t="s">
        <v>145</v>
      </c>
      <c r="Y68" t="s">
        <v>1565</v>
      </c>
      <c r="Z68" t="s">
        <v>1566</v>
      </c>
      <c r="AA68" t="s">
        <v>1567</v>
      </c>
      <c r="AB68" t="s">
        <v>1568</v>
      </c>
      <c r="AC68" t="s">
        <v>1569</v>
      </c>
      <c r="AD68" t="s">
        <v>1570</v>
      </c>
      <c r="AE68" t="s">
        <v>1571</v>
      </c>
      <c r="AF68" t="s">
        <v>74</v>
      </c>
      <c r="AG68">
        <v>10</v>
      </c>
      <c r="AH68">
        <v>1</v>
      </c>
      <c r="AI68">
        <v>1</v>
      </c>
      <c r="AJ68">
        <v>1</v>
      </c>
      <c r="AK68">
        <v>3</v>
      </c>
      <c r="AL68" t="s">
        <v>645</v>
      </c>
      <c r="AM68" t="s">
        <v>646</v>
      </c>
      <c r="AN68" t="s">
        <v>647</v>
      </c>
      <c r="AO68" t="s">
        <v>1572</v>
      </c>
      <c r="AP68" t="s">
        <v>74</v>
      </c>
      <c r="AQ68" t="s">
        <v>74</v>
      </c>
      <c r="AR68" t="s">
        <v>1573</v>
      </c>
      <c r="AS68" t="s">
        <v>1574</v>
      </c>
      <c r="AT68" t="s">
        <v>1575</v>
      </c>
      <c r="AU68">
        <v>2024</v>
      </c>
      <c r="AV68">
        <v>22</v>
      </c>
      <c r="AW68">
        <v>1</v>
      </c>
      <c r="AX68" t="s">
        <v>74</v>
      </c>
      <c r="AY68" t="s">
        <v>74</v>
      </c>
      <c r="AZ68" t="s">
        <v>74</v>
      </c>
      <c r="BA68" t="s">
        <v>74</v>
      </c>
      <c r="BB68" t="s">
        <v>74</v>
      </c>
      <c r="BC68" t="s">
        <v>74</v>
      </c>
      <c r="BD68">
        <v>14012</v>
      </c>
      <c r="BE68" t="s">
        <v>1576</v>
      </c>
      <c r="BF68" t="str">
        <f>HYPERLINK("http://dx.doi.org/10.1103/PhysRevApplied.22.014012","http://dx.doi.org/10.1103/PhysRevApplied.22.014012")</f>
        <v>http://dx.doi.org/10.1103/PhysRevApplied.22.014012</v>
      </c>
      <c r="BG68" t="s">
        <v>74</v>
      </c>
      <c r="BH68" t="s">
        <v>74</v>
      </c>
      <c r="BI68">
        <v>12</v>
      </c>
      <c r="BJ68" t="s">
        <v>1577</v>
      </c>
      <c r="BK68" t="s">
        <v>103</v>
      </c>
      <c r="BL68" t="s">
        <v>654</v>
      </c>
      <c r="BM68" t="s">
        <v>1578</v>
      </c>
      <c r="BN68" t="s">
        <v>74</v>
      </c>
      <c r="BO68" t="s">
        <v>105</v>
      </c>
      <c r="BP68" t="s">
        <v>74</v>
      </c>
      <c r="BQ68" t="s">
        <v>74</v>
      </c>
      <c r="BR68" t="s">
        <v>106</v>
      </c>
      <c r="BS68" t="s">
        <v>1579</v>
      </c>
      <c r="BT68" t="str">
        <f>HYPERLINK("https%3A%2F%2Fwww.webofscience.com%2Fwos%2Fwoscc%2Ffull-record%2FWOS:001264087700001","View Full Record in Web of Science")</f>
        <v>View Full Record in Web of Science</v>
      </c>
    </row>
    <row r="69" spans="1:72" x14ac:dyDescent="0.15">
      <c r="A69" t="s">
        <v>72</v>
      </c>
      <c r="B69" t="s">
        <v>1580</v>
      </c>
      <c r="C69" t="s">
        <v>74</v>
      </c>
      <c r="D69" t="s">
        <v>74</v>
      </c>
      <c r="E69" t="s">
        <v>74</v>
      </c>
      <c r="F69" t="s">
        <v>1581</v>
      </c>
      <c r="G69" t="s">
        <v>74</v>
      </c>
      <c r="H69" t="s">
        <v>74</v>
      </c>
      <c r="I69" t="s">
        <v>1582</v>
      </c>
      <c r="J69" t="s">
        <v>1056</v>
      </c>
      <c r="K69" t="s">
        <v>74</v>
      </c>
      <c r="L69" t="s">
        <v>74</v>
      </c>
      <c r="M69" t="s">
        <v>78</v>
      </c>
      <c r="N69" t="s">
        <v>79</v>
      </c>
      <c r="O69" t="s">
        <v>74</v>
      </c>
      <c r="P69" t="s">
        <v>74</v>
      </c>
      <c r="Q69" t="s">
        <v>74</v>
      </c>
      <c r="R69" t="s">
        <v>74</v>
      </c>
      <c r="S69" t="s">
        <v>74</v>
      </c>
      <c r="T69" t="s">
        <v>74</v>
      </c>
      <c r="U69" t="s">
        <v>1583</v>
      </c>
      <c r="V69" t="s">
        <v>1584</v>
      </c>
      <c r="W69" t="s">
        <v>1585</v>
      </c>
      <c r="X69" t="s">
        <v>1586</v>
      </c>
      <c r="Y69" t="s">
        <v>1587</v>
      </c>
      <c r="Z69" t="s">
        <v>1588</v>
      </c>
      <c r="AA69" t="s">
        <v>1589</v>
      </c>
      <c r="AB69" t="s">
        <v>1590</v>
      </c>
      <c r="AC69" t="s">
        <v>1591</v>
      </c>
      <c r="AD69" t="s">
        <v>1592</v>
      </c>
      <c r="AE69" t="s">
        <v>1593</v>
      </c>
      <c r="AF69" t="s">
        <v>74</v>
      </c>
      <c r="AG69">
        <v>48</v>
      </c>
      <c r="AH69">
        <v>7</v>
      </c>
      <c r="AI69">
        <v>10</v>
      </c>
      <c r="AJ69">
        <v>14</v>
      </c>
      <c r="AK69">
        <v>42</v>
      </c>
      <c r="AL69" t="s">
        <v>152</v>
      </c>
      <c r="AM69" t="s">
        <v>153</v>
      </c>
      <c r="AN69" t="s">
        <v>154</v>
      </c>
      <c r="AO69" t="s">
        <v>1063</v>
      </c>
      <c r="AP69" t="s">
        <v>1064</v>
      </c>
      <c r="AQ69" t="s">
        <v>74</v>
      </c>
      <c r="AR69" t="s">
        <v>1065</v>
      </c>
      <c r="AS69" t="s">
        <v>1066</v>
      </c>
      <c r="AT69" t="s">
        <v>1594</v>
      </c>
      <c r="AU69">
        <v>2025</v>
      </c>
      <c r="AV69">
        <v>147</v>
      </c>
      <c r="AW69">
        <v>11</v>
      </c>
      <c r="AX69" t="s">
        <v>74</v>
      </c>
      <c r="AY69" t="s">
        <v>74</v>
      </c>
      <c r="AZ69" t="s">
        <v>74</v>
      </c>
      <c r="BA69" t="s">
        <v>74</v>
      </c>
      <c r="BB69">
        <v>9629</v>
      </c>
      <c r="BC69">
        <v>9639</v>
      </c>
      <c r="BD69" t="s">
        <v>74</v>
      </c>
      <c r="BE69" t="s">
        <v>1595</v>
      </c>
      <c r="BF69" t="str">
        <f>HYPERLINK("http://dx.doi.org/10.1021/jacs.4c17762","http://dx.doi.org/10.1021/jacs.4c17762")</f>
        <v>http://dx.doi.org/10.1021/jacs.4c17762</v>
      </c>
      <c r="BG69" t="s">
        <v>74</v>
      </c>
      <c r="BH69" t="s">
        <v>421</v>
      </c>
      <c r="BI69">
        <v>11</v>
      </c>
      <c r="BJ69" t="s">
        <v>1069</v>
      </c>
      <c r="BK69" t="s">
        <v>103</v>
      </c>
      <c r="BL69" t="s">
        <v>1070</v>
      </c>
      <c r="BM69" t="s">
        <v>1596</v>
      </c>
      <c r="BN69">
        <v>40050224</v>
      </c>
      <c r="BO69" t="s">
        <v>74</v>
      </c>
      <c r="BP69" t="s">
        <v>74</v>
      </c>
      <c r="BQ69" t="s">
        <v>74</v>
      </c>
      <c r="BR69" t="s">
        <v>106</v>
      </c>
      <c r="BS69" t="s">
        <v>1597</v>
      </c>
      <c r="BT69" t="str">
        <f>HYPERLINK("https%3A%2F%2Fwww.webofscience.com%2Fwos%2Fwoscc%2Ffull-record%2FWOS:001440340500001","View Full Record in Web of Science")</f>
        <v>View Full Record in Web of Science</v>
      </c>
    </row>
    <row r="70" spans="1:72" x14ac:dyDescent="0.15">
      <c r="A70" t="s">
        <v>72</v>
      </c>
      <c r="B70" t="s">
        <v>1598</v>
      </c>
      <c r="C70" t="s">
        <v>74</v>
      </c>
      <c r="D70" t="s">
        <v>74</v>
      </c>
      <c r="E70" t="s">
        <v>74</v>
      </c>
      <c r="F70" t="s">
        <v>1599</v>
      </c>
      <c r="G70" t="s">
        <v>74</v>
      </c>
      <c r="H70" t="s">
        <v>74</v>
      </c>
      <c r="I70" t="s">
        <v>1600</v>
      </c>
      <c r="J70" t="s">
        <v>1601</v>
      </c>
      <c r="K70" t="s">
        <v>74</v>
      </c>
      <c r="L70" t="s">
        <v>74</v>
      </c>
      <c r="M70" t="s">
        <v>78</v>
      </c>
      <c r="N70" t="s">
        <v>79</v>
      </c>
      <c r="O70" t="s">
        <v>74</v>
      </c>
      <c r="P70" t="s">
        <v>74</v>
      </c>
      <c r="Q70" t="s">
        <v>74</v>
      </c>
      <c r="R70" t="s">
        <v>74</v>
      </c>
      <c r="S70" t="s">
        <v>74</v>
      </c>
      <c r="T70" t="s">
        <v>74</v>
      </c>
      <c r="U70" t="s">
        <v>1602</v>
      </c>
      <c r="V70" t="s">
        <v>1603</v>
      </c>
      <c r="W70" t="s">
        <v>1604</v>
      </c>
      <c r="X70" t="s">
        <v>1605</v>
      </c>
      <c r="Y70" t="s">
        <v>1606</v>
      </c>
      <c r="Z70" t="s">
        <v>1607</v>
      </c>
      <c r="AA70" t="s">
        <v>1608</v>
      </c>
      <c r="AB70" t="s">
        <v>1609</v>
      </c>
      <c r="AC70" t="s">
        <v>1610</v>
      </c>
      <c r="AD70" t="s">
        <v>1611</v>
      </c>
      <c r="AE70" t="s">
        <v>1612</v>
      </c>
      <c r="AF70" t="s">
        <v>74</v>
      </c>
      <c r="AG70">
        <v>47</v>
      </c>
      <c r="AH70">
        <v>1</v>
      </c>
      <c r="AI70">
        <v>1</v>
      </c>
      <c r="AJ70">
        <v>3</v>
      </c>
      <c r="AK70">
        <v>7</v>
      </c>
      <c r="AL70" t="s">
        <v>152</v>
      </c>
      <c r="AM70" t="s">
        <v>153</v>
      </c>
      <c r="AN70" t="s">
        <v>154</v>
      </c>
      <c r="AO70" t="s">
        <v>1613</v>
      </c>
      <c r="AP70" t="s">
        <v>1614</v>
      </c>
      <c r="AQ70" t="s">
        <v>74</v>
      </c>
      <c r="AR70" t="s">
        <v>1615</v>
      </c>
      <c r="AS70" t="s">
        <v>1616</v>
      </c>
      <c r="AT70" t="s">
        <v>1617</v>
      </c>
      <c r="AU70">
        <v>2025</v>
      </c>
      <c r="AV70">
        <v>64</v>
      </c>
      <c r="AW70">
        <v>9</v>
      </c>
      <c r="AX70" t="s">
        <v>74</v>
      </c>
      <c r="AY70" t="s">
        <v>74</v>
      </c>
      <c r="AZ70" t="s">
        <v>74</v>
      </c>
      <c r="BA70" t="s">
        <v>74</v>
      </c>
      <c r="BB70">
        <v>4483</v>
      </c>
      <c r="BC70">
        <v>4490</v>
      </c>
      <c r="BD70" t="s">
        <v>74</v>
      </c>
      <c r="BE70" t="s">
        <v>1618</v>
      </c>
      <c r="BF70" t="str">
        <f>HYPERLINK("http://dx.doi.org/10.1021/acs.inorgchem.4c05324","http://dx.doi.org/10.1021/acs.inorgchem.4c05324")</f>
        <v>http://dx.doi.org/10.1021/acs.inorgchem.4c05324</v>
      </c>
      <c r="BG70" t="s">
        <v>74</v>
      </c>
      <c r="BH70" t="s">
        <v>274</v>
      </c>
      <c r="BI70">
        <v>8</v>
      </c>
      <c r="BJ70" t="s">
        <v>1619</v>
      </c>
      <c r="BK70" t="s">
        <v>103</v>
      </c>
      <c r="BL70" t="s">
        <v>1070</v>
      </c>
      <c r="BM70" t="s">
        <v>1620</v>
      </c>
      <c r="BN70">
        <v>40013451</v>
      </c>
      <c r="BO70" t="s">
        <v>136</v>
      </c>
      <c r="BP70" t="s">
        <v>74</v>
      </c>
      <c r="BQ70" t="s">
        <v>74</v>
      </c>
      <c r="BR70" t="s">
        <v>106</v>
      </c>
      <c r="BS70" t="s">
        <v>1621</v>
      </c>
      <c r="BT70" t="str">
        <f>HYPERLINK("https%3A%2F%2Fwww.webofscience.com%2Fwos%2Fwoscc%2Ffull-record%2FWOS:001433823300001","View Full Record in Web of Science")</f>
        <v>View Full Record in Web of Science</v>
      </c>
    </row>
    <row r="71" spans="1:72" x14ac:dyDescent="0.15">
      <c r="A71" t="s">
        <v>72</v>
      </c>
      <c r="B71" t="s">
        <v>1622</v>
      </c>
      <c r="C71" t="s">
        <v>74</v>
      </c>
      <c r="D71" t="s">
        <v>74</v>
      </c>
      <c r="E71" t="s">
        <v>74</v>
      </c>
      <c r="F71" t="s">
        <v>1623</v>
      </c>
      <c r="G71" t="s">
        <v>74</v>
      </c>
      <c r="H71" t="s">
        <v>74</v>
      </c>
      <c r="I71" t="s">
        <v>1624</v>
      </c>
      <c r="J71" t="s">
        <v>1625</v>
      </c>
      <c r="K71" t="s">
        <v>74</v>
      </c>
      <c r="L71" t="s">
        <v>74</v>
      </c>
      <c r="M71" t="s">
        <v>78</v>
      </c>
      <c r="N71" t="s">
        <v>79</v>
      </c>
      <c r="O71" t="s">
        <v>74</v>
      </c>
      <c r="P71" t="s">
        <v>74</v>
      </c>
      <c r="Q71" t="s">
        <v>74</v>
      </c>
      <c r="R71" t="s">
        <v>74</v>
      </c>
      <c r="S71" t="s">
        <v>74</v>
      </c>
      <c r="T71" t="s">
        <v>74</v>
      </c>
      <c r="U71" t="s">
        <v>1626</v>
      </c>
      <c r="V71" t="s">
        <v>1627</v>
      </c>
      <c r="W71" t="s">
        <v>1628</v>
      </c>
      <c r="X71" t="s">
        <v>1629</v>
      </c>
      <c r="Y71" t="s">
        <v>1606</v>
      </c>
      <c r="Z71" t="s">
        <v>1607</v>
      </c>
      <c r="AA71" t="s">
        <v>74</v>
      </c>
      <c r="AB71" t="s">
        <v>74</v>
      </c>
      <c r="AC71" t="s">
        <v>1630</v>
      </c>
      <c r="AD71" t="s">
        <v>1631</v>
      </c>
      <c r="AE71" t="s">
        <v>1632</v>
      </c>
      <c r="AF71" t="s">
        <v>74</v>
      </c>
      <c r="AG71">
        <v>64</v>
      </c>
      <c r="AH71">
        <v>0</v>
      </c>
      <c r="AI71">
        <v>0</v>
      </c>
      <c r="AJ71">
        <v>0</v>
      </c>
      <c r="AK71">
        <v>0</v>
      </c>
      <c r="AL71" t="s">
        <v>1633</v>
      </c>
      <c r="AM71" t="s">
        <v>626</v>
      </c>
      <c r="AN71" t="s">
        <v>1634</v>
      </c>
      <c r="AO71" t="s">
        <v>1635</v>
      </c>
      <c r="AP71" t="s">
        <v>74</v>
      </c>
      <c r="AQ71" t="s">
        <v>74</v>
      </c>
      <c r="AR71" t="s">
        <v>1636</v>
      </c>
      <c r="AS71" t="s">
        <v>1637</v>
      </c>
      <c r="AT71" t="s">
        <v>1464</v>
      </c>
      <c r="AU71">
        <v>2026</v>
      </c>
      <c r="AV71">
        <v>14</v>
      </c>
      <c r="AW71">
        <v>1</v>
      </c>
      <c r="AX71" t="s">
        <v>74</v>
      </c>
      <c r="AY71" t="s">
        <v>74</v>
      </c>
      <c r="AZ71" t="s">
        <v>74</v>
      </c>
      <c r="BA71" t="s">
        <v>74</v>
      </c>
      <c r="BB71" t="s">
        <v>74</v>
      </c>
      <c r="BC71" t="s">
        <v>74</v>
      </c>
      <c r="BD71">
        <v>11114</v>
      </c>
      <c r="BE71" t="s">
        <v>1638</v>
      </c>
      <c r="BF71" t="str">
        <f>HYPERLINK("http://dx.doi.org/10.1063/5.0308605","http://dx.doi.org/10.1063/5.0308605")</f>
        <v>http://dx.doi.org/10.1063/5.0308605</v>
      </c>
      <c r="BG71" t="s">
        <v>74</v>
      </c>
      <c r="BH71" t="s">
        <v>74</v>
      </c>
      <c r="BI71">
        <v>10</v>
      </c>
      <c r="BJ71" t="s">
        <v>1639</v>
      </c>
      <c r="BK71" t="s">
        <v>103</v>
      </c>
      <c r="BL71" t="s">
        <v>1640</v>
      </c>
      <c r="BM71" t="s">
        <v>1641</v>
      </c>
      <c r="BN71" t="s">
        <v>74</v>
      </c>
      <c r="BO71" t="s">
        <v>191</v>
      </c>
      <c r="BP71" t="s">
        <v>74</v>
      </c>
      <c r="BQ71" t="s">
        <v>74</v>
      </c>
      <c r="BR71" t="s">
        <v>106</v>
      </c>
      <c r="BS71" t="s">
        <v>1642</v>
      </c>
      <c r="BT71" t="str">
        <f>HYPERLINK("https%3A%2F%2Fwww.webofscience.com%2Fwos%2Fwoscc%2Ffull-record%2FWOS:001771104000001","View Full Record in Web of Science")</f>
        <v>View Full Record in Web of Science</v>
      </c>
    </row>
    <row r="72" spans="1:72" x14ac:dyDescent="0.15">
      <c r="A72" t="s">
        <v>72</v>
      </c>
      <c r="B72" t="s">
        <v>1643</v>
      </c>
      <c r="C72" t="s">
        <v>74</v>
      </c>
      <c r="D72" t="s">
        <v>74</v>
      </c>
      <c r="E72" t="s">
        <v>74</v>
      </c>
      <c r="F72" t="s">
        <v>1644</v>
      </c>
      <c r="G72" t="s">
        <v>74</v>
      </c>
      <c r="H72" t="s">
        <v>74</v>
      </c>
      <c r="I72" t="s">
        <v>1645</v>
      </c>
      <c r="J72" t="s">
        <v>1646</v>
      </c>
      <c r="K72" t="s">
        <v>74</v>
      </c>
      <c r="L72" t="s">
        <v>74</v>
      </c>
      <c r="M72" t="s">
        <v>78</v>
      </c>
      <c r="N72" t="s">
        <v>79</v>
      </c>
      <c r="O72" t="s">
        <v>74</v>
      </c>
      <c r="P72" t="s">
        <v>74</v>
      </c>
      <c r="Q72" t="s">
        <v>74</v>
      </c>
      <c r="R72" t="s">
        <v>74</v>
      </c>
      <c r="S72" t="s">
        <v>74</v>
      </c>
      <c r="T72" t="s">
        <v>1647</v>
      </c>
      <c r="U72" t="s">
        <v>1648</v>
      </c>
      <c r="V72" t="s">
        <v>1649</v>
      </c>
      <c r="W72" t="s">
        <v>1650</v>
      </c>
      <c r="X72" t="s">
        <v>1651</v>
      </c>
      <c r="Y72" t="s">
        <v>1652</v>
      </c>
      <c r="Z72" t="s">
        <v>1653</v>
      </c>
      <c r="AA72" t="s">
        <v>1654</v>
      </c>
      <c r="AB72" t="s">
        <v>74</v>
      </c>
      <c r="AC72" t="s">
        <v>1655</v>
      </c>
      <c r="AD72" t="s">
        <v>1656</v>
      </c>
      <c r="AE72" t="s">
        <v>1657</v>
      </c>
      <c r="AF72" t="s">
        <v>74</v>
      </c>
      <c r="AG72">
        <v>70</v>
      </c>
      <c r="AH72">
        <v>0</v>
      </c>
      <c r="AI72">
        <v>0</v>
      </c>
      <c r="AJ72">
        <v>1</v>
      </c>
      <c r="AK72">
        <v>1</v>
      </c>
      <c r="AL72" t="s">
        <v>227</v>
      </c>
      <c r="AM72" t="s">
        <v>228</v>
      </c>
      <c r="AN72" t="s">
        <v>229</v>
      </c>
      <c r="AO72" t="s">
        <v>1658</v>
      </c>
      <c r="AP72" t="s">
        <v>74</v>
      </c>
      <c r="AQ72" t="s">
        <v>74</v>
      </c>
      <c r="AR72" t="s">
        <v>1659</v>
      </c>
      <c r="AS72" t="s">
        <v>1660</v>
      </c>
      <c r="AT72" t="s">
        <v>1661</v>
      </c>
      <c r="AU72">
        <v>2026</v>
      </c>
      <c r="AV72">
        <v>61</v>
      </c>
      <c r="AW72" t="s">
        <v>74</v>
      </c>
      <c r="AX72" t="s">
        <v>74</v>
      </c>
      <c r="AY72" t="s">
        <v>74</v>
      </c>
      <c r="AZ72" t="s">
        <v>74</v>
      </c>
      <c r="BA72" t="s">
        <v>74</v>
      </c>
      <c r="BB72" t="s">
        <v>74</v>
      </c>
      <c r="BC72" t="s">
        <v>74</v>
      </c>
      <c r="BD72">
        <v>102033</v>
      </c>
      <c r="BE72" t="s">
        <v>1662</v>
      </c>
      <c r="BF72" t="str">
        <f>HYPERLINK("http://dx.doi.org/10.1016/j.mtphys.2026.102033","http://dx.doi.org/10.1016/j.mtphys.2026.102033")</f>
        <v>http://dx.doi.org/10.1016/j.mtphys.2026.102033</v>
      </c>
      <c r="BG72" t="s">
        <v>74</v>
      </c>
      <c r="BH72" t="s">
        <v>1663</v>
      </c>
      <c r="BI72">
        <v>12</v>
      </c>
      <c r="BJ72" t="s">
        <v>1664</v>
      </c>
      <c r="BK72" t="s">
        <v>103</v>
      </c>
      <c r="BL72" t="s">
        <v>1665</v>
      </c>
      <c r="BM72" t="s">
        <v>1666</v>
      </c>
      <c r="BN72" t="s">
        <v>74</v>
      </c>
      <c r="BO72" t="s">
        <v>74</v>
      </c>
      <c r="BP72" t="s">
        <v>74</v>
      </c>
      <c r="BQ72" t="s">
        <v>74</v>
      </c>
      <c r="BR72" t="s">
        <v>106</v>
      </c>
      <c r="BS72" t="s">
        <v>1667</v>
      </c>
      <c r="BT72" t="str">
        <f>HYPERLINK("https%3A%2F%2Fwww.webofscience.com%2Fwos%2Fwoscc%2Ffull-record%2FWOS:001681366000001","View Full Record in Web of Science")</f>
        <v>View Full Record in Web of Science</v>
      </c>
    </row>
    <row r="73" spans="1:72" x14ac:dyDescent="0.15">
      <c r="A73" t="s">
        <v>72</v>
      </c>
      <c r="B73" t="s">
        <v>1668</v>
      </c>
      <c r="C73" t="s">
        <v>74</v>
      </c>
      <c r="D73" t="s">
        <v>74</v>
      </c>
      <c r="E73" t="s">
        <v>74</v>
      </c>
      <c r="F73" t="s">
        <v>1669</v>
      </c>
      <c r="G73" t="s">
        <v>74</v>
      </c>
      <c r="H73" t="s">
        <v>74</v>
      </c>
      <c r="I73" t="s">
        <v>1670</v>
      </c>
      <c r="J73" t="s">
        <v>1363</v>
      </c>
      <c r="K73" t="s">
        <v>74</v>
      </c>
      <c r="L73" t="s">
        <v>74</v>
      </c>
      <c r="M73" t="s">
        <v>78</v>
      </c>
      <c r="N73" t="s">
        <v>79</v>
      </c>
      <c r="O73" t="s">
        <v>74</v>
      </c>
      <c r="P73" t="s">
        <v>74</v>
      </c>
      <c r="Q73" t="s">
        <v>74</v>
      </c>
      <c r="R73" t="s">
        <v>74</v>
      </c>
      <c r="S73" t="s">
        <v>74</v>
      </c>
      <c r="T73" t="s">
        <v>1671</v>
      </c>
      <c r="U73" t="s">
        <v>1672</v>
      </c>
      <c r="V73" t="s">
        <v>1673</v>
      </c>
      <c r="W73" t="s">
        <v>1674</v>
      </c>
      <c r="X73" t="s">
        <v>1675</v>
      </c>
      <c r="Y73" t="s">
        <v>1676</v>
      </c>
      <c r="Z73" t="s">
        <v>1677</v>
      </c>
      <c r="AA73" t="s">
        <v>74</v>
      </c>
      <c r="AB73" t="s">
        <v>1678</v>
      </c>
      <c r="AC73" t="s">
        <v>1679</v>
      </c>
      <c r="AD73" t="s">
        <v>1680</v>
      </c>
      <c r="AE73" t="s">
        <v>1681</v>
      </c>
      <c r="AF73" t="s">
        <v>74</v>
      </c>
      <c r="AG73">
        <v>61</v>
      </c>
      <c r="AH73">
        <v>1</v>
      </c>
      <c r="AI73">
        <v>1</v>
      </c>
      <c r="AJ73">
        <v>4</v>
      </c>
      <c r="AK73">
        <v>8</v>
      </c>
      <c r="AL73" t="s">
        <v>152</v>
      </c>
      <c r="AM73" t="s">
        <v>153</v>
      </c>
      <c r="AN73" t="s">
        <v>154</v>
      </c>
      <c r="AO73" t="s">
        <v>1375</v>
      </c>
      <c r="AP73" t="s">
        <v>74</v>
      </c>
      <c r="AQ73" t="s">
        <v>74</v>
      </c>
      <c r="AR73" t="s">
        <v>1376</v>
      </c>
      <c r="AS73" t="s">
        <v>1377</v>
      </c>
      <c r="AT73" t="s">
        <v>1682</v>
      </c>
      <c r="AU73">
        <v>2025</v>
      </c>
      <c r="AV73">
        <v>7</v>
      </c>
      <c r="AW73">
        <v>15</v>
      </c>
      <c r="AX73" t="s">
        <v>74</v>
      </c>
      <c r="AY73" t="s">
        <v>74</v>
      </c>
      <c r="AZ73" t="s">
        <v>74</v>
      </c>
      <c r="BA73" t="s">
        <v>74</v>
      </c>
      <c r="BB73">
        <v>9714</v>
      </c>
      <c r="BC73">
        <v>9722</v>
      </c>
      <c r="BD73" t="s">
        <v>74</v>
      </c>
      <c r="BE73" t="s">
        <v>1683</v>
      </c>
      <c r="BF73" t="str">
        <f>HYPERLINK("http://dx.doi.org/10.1021/acsapm.5c01262","http://dx.doi.org/10.1021/acsapm.5c01262")</f>
        <v>http://dx.doi.org/10.1021/acsapm.5c01262</v>
      </c>
      <c r="BG73" t="s">
        <v>74</v>
      </c>
      <c r="BH73" t="s">
        <v>342</v>
      </c>
      <c r="BI73">
        <v>9</v>
      </c>
      <c r="BJ73" t="s">
        <v>1379</v>
      </c>
      <c r="BK73" t="s">
        <v>103</v>
      </c>
      <c r="BL73" t="s">
        <v>1380</v>
      </c>
      <c r="BM73" t="s">
        <v>1684</v>
      </c>
      <c r="BN73" t="s">
        <v>74</v>
      </c>
      <c r="BO73" t="s">
        <v>74</v>
      </c>
      <c r="BP73" t="s">
        <v>74</v>
      </c>
      <c r="BQ73" t="s">
        <v>74</v>
      </c>
      <c r="BR73" t="s">
        <v>106</v>
      </c>
      <c r="BS73" t="s">
        <v>1685</v>
      </c>
      <c r="BT73" t="str">
        <f>HYPERLINK("https%3A%2F%2Fwww.webofscience.com%2Fwos%2Fwoscc%2Ffull-record%2FWOS:001532279600001","View Full Record in Web of Science")</f>
        <v>View Full Record in Web of Science</v>
      </c>
    </row>
    <row r="74" spans="1:72" x14ac:dyDescent="0.15">
      <c r="A74" t="s">
        <v>72</v>
      </c>
      <c r="B74" t="s">
        <v>1686</v>
      </c>
      <c r="C74" t="s">
        <v>74</v>
      </c>
      <c r="D74" t="s">
        <v>74</v>
      </c>
      <c r="E74" t="s">
        <v>74</v>
      </c>
      <c r="F74" t="s">
        <v>1687</v>
      </c>
      <c r="G74" t="s">
        <v>74</v>
      </c>
      <c r="H74" t="s">
        <v>74</v>
      </c>
      <c r="I74" t="s">
        <v>1688</v>
      </c>
      <c r="J74" t="s">
        <v>1689</v>
      </c>
      <c r="K74" t="s">
        <v>74</v>
      </c>
      <c r="L74" t="s">
        <v>74</v>
      </c>
      <c r="M74" t="s">
        <v>78</v>
      </c>
      <c r="N74" t="s">
        <v>79</v>
      </c>
      <c r="O74" t="s">
        <v>74</v>
      </c>
      <c r="P74" t="s">
        <v>74</v>
      </c>
      <c r="Q74" t="s">
        <v>74</v>
      </c>
      <c r="R74" t="s">
        <v>74</v>
      </c>
      <c r="S74" t="s">
        <v>74</v>
      </c>
      <c r="T74" t="s">
        <v>1690</v>
      </c>
      <c r="U74" t="s">
        <v>1691</v>
      </c>
      <c r="V74" t="s">
        <v>1692</v>
      </c>
      <c r="W74" t="s">
        <v>1693</v>
      </c>
      <c r="X74" t="s">
        <v>1326</v>
      </c>
      <c r="Y74" t="s">
        <v>1694</v>
      </c>
      <c r="Z74" t="s">
        <v>1695</v>
      </c>
      <c r="AA74" t="s">
        <v>1696</v>
      </c>
      <c r="AB74" t="s">
        <v>74</v>
      </c>
      <c r="AC74" t="s">
        <v>1697</v>
      </c>
      <c r="AD74" t="s">
        <v>1698</v>
      </c>
      <c r="AE74" t="s">
        <v>1699</v>
      </c>
      <c r="AF74" t="s">
        <v>74</v>
      </c>
      <c r="AG74">
        <v>48</v>
      </c>
      <c r="AH74">
        <v>0</v>
      </c>
      <c r="AI74">
        <v>0</v>
      </c>
      <c r="AJ74">
        <v>10</v>
      </c>
      <c r="AK74">
        <v>12</v>
      </c>
      <c r="AL74" t="s">
        <v>179</v>
      </c>
      <c r="AM74" t="s">
        <v>180</v>
      </c>
      <c r="AN74" t="s">
        <v>181</v>
      </c>
      <c r="AO74" t="s">
        <v>1700</v>
      </c>
      <c r="AP74" t="s">
        <v>1701</v>
      </c>
      <c r="AQ74" t="s">
        <v>74</v>
      </c>
      <c r="AR74" t="s">
        <v>1689</v>
      </c>
      <c r="AS74" t="s">
        <v>1702</v>
      </c>
      <c r="AT74" t="s">
        <v>1703</v>
      </c>
      <c r="AU74">
        <v>2025</v>
      </c>
      <c r="AV74">
        <v>21</v>
      </c>
      <c r="AW74">
        <v>51</v>
      </c>
      <c r="AX74" t="s">
        <v>74</v>
      </c>
      <c r="AY74" t="s">
        <v>74</v>
      </c>
      <c r="AZ74" t="s">
        <v>74</v>
      </c>
      <c r="BA74" t="s">
        <v>74</v>
      </c>
      <c r="BB74" t="s">
        <v>74</v>
      </c>
      <c r="BC74" t="s">
        <v>74</v>
      </c>
      <c r="BD74" t="s">
        <v>1704</v>
      </c>
      <c r="BE74" t="s">
        <v>1705</v>
      </c>
      <c r="BF74" t="str">
        <f>HYPERLINK("http://dx.doi.org/10.1002/smll.202504718","http://dx.doi.org/10.1002/smll.202504718")</f>
        <v>http://dx.doi.org/10.1002/smll.202504718</v>
      </c>
      <c r="BG74" t="s">
        <v>74</v>
      </c>
      <c r="BH74" t="s">
        <v>160</v>
      </c>
      <c r="BI74">
        <v>10</v>
      </c>
      <c r="BJ74" t="s">
        <v>605</v>
      </c>
      <c r="BK74" t="s">
        <v>103</v>
      </c>
      <c r="BL74" t="s">
        <v>606</v>
      </c>
      <c r="BM74" t="s">
        <v>1706</v>
      </c>
      <c r="BN74">
        <v>41181879</v>
      </c>
      <c r="BO74" t="s">
        <v>136</v>
      </c>
      <c r="BP74" t="s">
        <v>74</v>
      </c>
      <c r="BQ74" t="s">
        <v>74</v>
      </c>
      <c r="BR74" t="s">
        <v>106</v>
      </c>
      <c r="BS74" t="s">
        <v>1707</v>
      </c>
      <c r="BT74" t="str">
        <f>HYPERLINK("https%3A%2F%2Fwww.webofscience.com%2Fwos%2Fwoscc%2Ffull-record%2FWOS:001607325700001","View Full Record in Web of Science")</f>
        <v>View Full Record in Web of Science</v>
      </c>
    </row>
    <row r="75" spans="1:72" x14ac:dyDescent="0.15">
      <c r="A75" t="s">
        <v>72</v>
      </c>
      <c r="B75" t="s">
        <v>1708</v>
      </c>
      <c r="C75" t="s">
        <v>74</v>
      </c>
      <c r="D75" t="s">
        <v>74</v>
      </c>
      <c r="E75" t="s">
        <v>74</v>
      </c>
      <c r="F75" t="s">
        <v>1709</v>
      </c>
      <c r="G75" t="s">
        <v>74</v>
      </c>
      <c r="H75" t="s">
        <v>74</v>
      </c>
      <c r="I75" t="s">
        <v>1710</v>
      </c>
      <c r="J75" t="s">
        <v>1711</v>
      </c>
      <c r="K75" t="s">
        <v>74</v>
      </c>
      <c r="L75" t="s">
        <v>74</v>
      </c>
      <c r="M75" t="s">
        <v>78</v>
      </c>
      <c r="N75" t="s">
        <v>79</v>
      </c>
      <c r="O75" t="s">
        <v>74</v>
      </c>
      <c r="P75" t="s">
        <v>74</v>
      </c>
      <c r="Q75" t="s">
        <v>74</v>
      </c>
      <c r="R75" t="s">
        <v>74</v>
      </c>
      <c r="S75" t="s">
        <v>74</v>
      </c>
      <c r="T75" t="s">
        <v>74</v>
      </c>
      <c r="U75" t="s">
        <v>1712</v>
      </c>
      <c r="V75" t="s">
        <v>1713</v>
      </c>
      <c r="W75" t="s">
        <v>1714</v>
      </c>
      <c r="X75" t="s">
        <v>1715</v>
      </c>
      <c r="Y75" t="s">
        <v>1716</v>
      </c>
      <c r="Z75" t="s">
        <v>1717</v>
      </c>
      <c r="AA75" t="s">
        <v>1718</v>
      </c>
      <c r="AB75" t="s">
        <v>74</v>
      </c>
      <c r="AC75" t="s">
        <v>1719</v>
      </c>
      <c r="AD75" t="s">
        <v>1720</v>
      </c>
      <c r="AE75" t="s">
        <v>1721</v>
      </c>
      <c r="AF75" t="s">
        <v>74</v>
      </c>
      <c r="AG75">
        <v>71</v>
      </c>
      <c r="AH75">
        <v>0</v>
      </c>
      <c r="AI75">
        <v>0</v>
      </c>
      <c r="AJ75">
        <v>0</v>
      </c>
      <c r="AK75">
        <v>0</v>
      </c>
      <c r="AL75" t="s">
        <v>1722</v>
      </c>
      <c r="AM75" t="s">
        <v>1723</v>
      </c>
      <c r="AN75" t="s">
        <v>1724</v>
      </c>
      <c r="AO75" t="s">
        <v>1725</v>
      </c>
      <c r="AP75" t="s">
        <v>1726</v>
      </c>
      <c r="AQ75" t="s">
        <v>74</v>
      </c>
      <c r="AR75" t="s">
        <v>1727</v>
      </c>
      <c r="AS75" t="s">
        <v>1728</v>
      </c>
      <c r="AT75" t="s">
        <v>74</v>
      </c>
      <c r="AU75">
        <v>2026</v>
      </c>
      <c r="AV75">
        <v>66</v>
      </c>
      <c r="AW75" t="s">
        <v>74</v>
      </c>
      <c r="AX75" t="s">
        <v>74</v>
      </c>
      <c r="AY75" t="s">
        <v>74</v>
      </c>
      <c r="AZ75" t="s">
        <v>74</v>
      </c>
      <c r="BA75" t="s">
        <v>74</v>
      </c>
      <c r="BB75" t="s">
        <v>74</v>
      </c>
      <c r="BC75" t="s">
        <v>74</v>
      </c>
      <c r="BD75" t="s">
        <v>1729</v>
      </c>
      <c r="BE75" t="s">
        <v>1730</v>
      </c>
      <c r="BF75" t="str">
        <f>HYPERLINK("http://dx.doi.org/10.1093/icb/icag018","http://dx.doi.org/10.1093/icb/icag018")</f>
        <v>http://dx.doi.org/10.1093/icb/icag018</v>
      </c>
      <c r="BG75" t="s">
        <v>74</v>
      </c>
      <c r="BH75" t="s">
        <v>74</v>
      </c>
      <c r="BI75">
        <v>15</v>
      </c>
      <c r="BJ75" t="s">
        <v>1731</v>
      </c>
      <c r="BK75" t="s">
        <v>103</v>
      </c>
      <c r="BL75" t="s">
        <v>1731</v>
      </c>
      <c r="BM75" t="s">
        <v>1732</v>
      </c>
      <c r="BN75">
        <v>41955438</v>
      </c>
      <c r="BO75" t="s">
        <v>136</v>
      </c>
      <c r="BP75" t="s">
        <v>74</v>
      </c>
      <c r="BQ75" t="s">
        <v>74</v>
      </c>
      <c r="BR75" t="s">
        <v>106</v>
      </c>
      <c r="BS75" t="s">
        <v>1733</v>
      </c>
      <c r="BT75" t="str">
        <f>HYPERLINK("https%3A%2F%2Fwww.webofscience.com%2Fwos%2Fwoscc%2Ffull-record%2FWOS:001744833300001","View Full Record in Web of Science")</f>
        <v>View Full Record in Web of Science</v>
      </c>
    </row>
    <row r="76" spans="1:72" x14ac:dyDescent="0.15">
      <c r="A76" t="s">
        <v>72</v>
      </c>
      <c r="B76" t="s">
        <v>1734</v>
      </c>
      <c r="C76" t="s">
        <v>74</v>
      </c>
      <c r="D76" t="s">
        <v>74</v>
      </c>
      <c r="E76" t="s">
        <v>74</v>
      </c>
      <c r="F76" t="s">
        <v>1735</v>
      </c>
      <c r="G76" t="s">
        <v>74</v>
      </c>
      <c r="H76" t="s">
        <v>74</v>
      </c>
      <c r="I76" t="s">
        <v>1736</v>
      </c>
      <c r="J76" t="s">
        <v>1737</v>
      </c>
      <c r="K76" t="s">
        <v>74</v>
      </c>
      <c r="L76" t="s">
        <v>74</v>
      </c>
      <c r="M76" t="s">
        <v>78</v>
      </c>
      <c r="N76" t="s">
        <v>79</v>
      </c>
      <c r="O76" t="s">
        <v>74</v>
      </c>
      <c r="P76" t="s">
        <v>74</v>
      </c>
      <c r="Q76" t="s">
        <v>74</v>
      </c>
      <c r="R76" t="s">
        <v>74</v>
      </c>
      <c r="S76" t="s">
        <v>74</v>
      </c>
      <c r="T76" t="s">
        <v>74</v>
      </c>
      <c r="U76" t="s">
        <v>1738</v>
      </c>
      <c r="V76" t="s">
        <v>1739</v>
      </c>
      <c r="W76" t="s">
        <v>1740</v>
      </c>
      <c r="X76" t="s">
        <v>1741</v>
      </c>
      <c r="Y76" t="s">
        <v>1742</v>
      </c>
      <c r="Z76" t="s">
        <v>1743</v>
      </c>
      <c r="AA76" t="s">
        <v>1744</v>
      </c>
      <c r="AB76" t="s">
        <v>1745</v>
      </c>
      <c r="AC76" t="s">
        <v>1746</v>
      </c>
      <c r="AD76" t="s">
        <v>1747</v>
      </c>
      <c r="AE76" t="s">
        <v>1748</v>
      </c>
      <c r="AF76" t="s">
        <v>74</v>
      </c>
      <c r="AG76">
        <v>44</v>
      </c>
      <c r="AH76">
        <v>90</v>
      </c>
      <c r="AI76">
        <v>92</v>
      </c>
      <c r="AJ76">
        <v>38</v>
      </c>
      <c r="AK76">
        <v>181</v>
      </c>
      <c r="AL76" t="s">
        <v>292</v>
      </c>
      <c r="AM76" t="s">
        <v>293</v>
      </c>
      <c r="AN76" t="s">
        <v>294</v>
      </c>
      <c r="AO76" t="s">
        <v>1749</v>
      </c>
      <c r="AP76" t="s">
        <v>74</v>
      </c>
      <c r="AQ76" t="s">
        <v>74</v>
      </c>
      <c r="AR76" t="s">
        <v>1750</v>
      </c>
      <c r="AS76" t="s">
        <v>1751</v>
      </c>
      <c r="AT76" t="s">
        <v>419</v>
      </c>
      <c r="AU76">
        <v>2024</v>
      </c>
      <c r="AV76">
        <v>7</v>
      </c>
      <c r="AW76">
        <v>5</v>
      </c>
      <c r="AX76" t="s">
        <v>74</v>
      </c>
      <c r="AY76" t="s">
        <v>74</v>
      </c>
      <c r="AZ76" t="s">
        <v>74</v>
      </c>
      <c r="BA76" t="s">
        <v>74</v>
      </c>
      <c r="BB76">
        <v>348</v>
      </c>
      <c r="BC76">
        <v>355</v>
      </c>
      <c r="BD76" t="s">
        <v>74</v>
      </c>
      <c r="BE76" t="s">
        <v>1752</v>
      </c>
      <c r="BF76" t="str">
        <f>HYPERLINK("http://dx.doi.org/10.1038/s41928-024-01148-6","http://dx.doi.org/10.1038/s41928-024-01148-6")</f>
        <v>http://dx.doi.org/10.1038/s41928-024-01148-6</v>
      </c>
      <c r="BG76" t="s">
        <v>74</v>
      </c>
      <c r="BH76" t="s">
        <v>712</v>
      </c>
      <c r="BI76">
        <v>8</v>
      </c>
      <c r="BJ76" t="s">
        <v>395</v>
      </c>
      <c r="BK76" t="s">
        <v>103</v>
      </c>
      <c r="BL76" t="s">
        <v>396</v>
      </c>
      <c r="BM76" t="s">
        <v>1753</v>
      </c>
      <c r="BN76" t="s">
        <v>74</v>
      </c>
      <c r="BO76" t="s">
        <v>74</v>
      </c>
      <c r="BP76" t="s">
        <v>1754</v>
      </c>
      <c r="BQ76" t="s">
        <v>1755</v>
      </c>
      <c r="BR76" t="s">
        <v>106</v>
      </c>
      <c r="BS76" t="s">
        <v>1756</v>
      </c>
      <c r="BT76" t="str">
        <f>HYPERLINK("https%3A%2F%2Fwww.webofscience.com%2Fwos%2Fwoscc%2Ffull-record%2FWOS:001209520300001","View Full Record in Web of Science")</f>
        <v>View Full Record in Web of Science</v>
      </c>
    </row>
    <row r="77" spans="1:72" x14ac:dyDescent="0.15">
      <c r="A77" t="s">
        <v>72</v>
      </c>
      <c r="B77" t="s">
        <v>1757</v>
      </c>
      <c r="C77" t="s">
        <v>74</v>
      </c>
      <c r="D77" t="s">
        <v>74</v>
      </c>
      <c r="E77" t="s">
        <v>74</v>
      </c>
      <c r="F77" t="s">
        <v>1758</v>
      </c>
      <c r="G77" t="s">
        <v>74</v>
      </c>
      <c r="H77" t="s">
        <v>74</v>
      </c>
      <c r="I77" t="s">
        <v>1759</v>
      </c>
      <c r="J77" t="s">
        <v>1760</v>
      </c>
      <c r="K77" t="s">
        <v>74</v>
      </c>
      <c r="L77" t="s">
        <v>74</v>
      </c>
      <c r="M77" t="s">
        <v>78</v>
      </c>
      <c r="N77" t="s">
        <v>79</v>
      </c>
      <c r="O77" t="s">
        <v>74</v>
      </c>
      <c r="P77" t="s">
        <v>74</v>
      </c>
      <c r="Q77" t="s">
        <v>74</v>
      </c>
      <c r="R77" t="s">
        <v>74</v>
      </c>
      <c r="S77" t="s">
        <v>74</v>
      </c>
      <c r="T77" t="s">
        <v>74</v>
      </c>
      <c r="U77" t="s">
        <v>74</v>
      </c>
      <c r="V77" t="s">
        <v>1761</v>
      </c>
      <c r="W77" t="s">
        <v>1762</v>
      </c>
      <c r="X77" t="s">
        <v>1763</v>
      </c>
      <c r="Y77" t="s">
        <v>1764</v>
      </c>
      <c r="Z77" t="s">
        <v>1765</v>
      </c>
      <c r="AA77" t="s">
        <v>1766</v>
      </c>
      <c r="AB77" t="s">
        <v>1767</v>
      </c>
      <c r="AC77" t="s">
        <v>1768</v>
      </c>
      <c r="AD77" t="s">
        <v>1769</v>
      </c>
      <c r="AE77" t="s">
        <v>1770</v>
      </c>
      <c r="AF77" t="s">
        <v>74</v>
      </c>
      <c r="AG77">
        <v>44</v>
      </c>
      <c r="AH77">
        <v>2</v>
      </c>
      <c r="AI77">
        <v>2</v>
      </c>
      <c r="AJ77">
        <v>12</v>
      </c>
      <c r="AK77">
        <v>12</v>
      </c>
      <c r="AL77" t="s">
        <v>898</v>
      </c>
      <c r="AM77" t="s">
        <v>124</v>
      </c>
      <c r="AN77" t="s">
        <v>899</v>
      </c>
      <c r="AO77" t="s">
        <v>1771</v>
      </c>
      <c r="AP77" t="s">
        <v>1772</v>
      </c>
      <c r="AQ77" t="s">
        <v>74</v>
      </c>
      <c r="AR77" t="s">
        <v>1773</v>
      </c>
      <c r="AS77" t="s">
        <v>1774</v>
      </c>
      <c r="AT77" t="s">
        <v>1775</v>
      </c>
      <c r="AU77">
        <v>2026</v>
      </c>
      <c r="AV77">
        <v>9</v>
      </c>
      <c r="AW77">
        <v>2</v>
      </c>
      <c r="AX77" t="s">
        <v>74</v>
      </c>
      <c r="AY77" t="s">
        <v>74</v>
      </c>
      <c r="AZ77" t="s">
        <v>74</v>
      </c>
      <c r="BA77" t="s">
        <v>74</v>
      </c>
      <c r="BB77" t="s">
        <v>74</v>
      </c>
      <c r="BC77" t="s">
        <v>74</v>
      </c>
      <c r="BD77">
        <v>102495</v>
      </c>
      <c r="BE77" t="s">
        <v>1776</v>
      </c>
      <c r="BF77" t="str">
        <f>HYPERLINK("http://dx.doi.org/10.1016/j.matt.2025.102495","http://dx.doi.org/10.1016/j.matt.2025.102495")</f>
        <v>http://dx.doi.org/10.1016/j.matt.2025.102495</v>
      </c>
      <c r="BG77" t="s">
        <v>74</v>
      </c>
      <c r="BH77" t="s">
        <v>187</v>
      </c>
      <c r="BI77">
        <v>16</v>
      </c>
      <c r="BJ77" t="s">
        <v>368</v>
      </c>
      <c r="BK77" t="s">
        <v>103</v>
      </c>
      <c r="BL77" t="s">
        <v>369</v>
      </c>
      <c r="BM77" t="s">
        <v>1777</v>
      </c>
      <c r="BN77" t="s">
        <v>74</v>
      </c>
      <c r="BO77" t="s">
        <v>74</v>
      </c>
      <c r="BP77" t="s">
        <v>74</v>
      </c>
      <c r="BQ77" t="s">
        <v>74</v>
      </c>
      <c r="BR77" t="s">
        <v>106</v>
      </c>
      <c r="BS77" t="s">
        <v>1778</v>
      </c>
      <c r="BT77" t="str">
        <f>HYPERLINK("https%3A%2F%2Fwww.webofscience.com%2Fwos%2Fwoscc%2Ffull-record%2FWOS:001684518800001","View Full Record in Web of Science")</f>
        <v>View Full Record in Web of Science</v>
      </c>
    </row>
    <row r="78" spans="1:72" x14ac:dyDescent="0.15">
      <c r="A78" t="s">
        <v>72</v>
      </c>
      <c r="B78" t="s">
        <v>1779</v>
      </c>
      <c r="C78" t="s">
        <v>74</v>
      </c>
      <c r="D78" t="s">
        <v>74</v>
      </c>
      <c r="E78" t="s">
        <v>74</v>
      </c>
      <c r="F78" t="s">
        <v>1780</v>
      </c>
      <c r="G78" t="s">
        <v>74</v>
      </c>
      <c r="H78" t="s">
        <v>74</v>
      </c>
      <c r="I78" t="s">
        <v>1781</v>
      </c>
      <c r="J78" t="s">
        <v>214</v>
      </c>
      <c r="K78" t="s">
        <v>74</v>
      </c>
      <c r="L78" t="s">
        <v>74</v>
      </c>
      <c r="M78" t="s">
        <v>78</v>
      </c>
      <c r="N78" t="s">
        <v>79</v>
      </c>
      <c r="O78" t="s">
        <v>74</v>
      </c>
      <c r="P78" t="s">
        <v>74</v>
      </c>
      <c r="Q78" t="s">
        <v>74</v>
      </c>
      <c r="R78" t="s">
        <v>74</v>
      </c>
      <c r="S78" t="s">
        <v>74</v>
      </c>
      <c r="T78" t="s">
        <v>1782</v>
      </c>
      <c r="U78" t="s">
        <v>1783</v>
      </c>
      <c r="V78" t="s">
        <v>1784</v>
      </c>
      <c r="W78" t="s">
        <v>1785</v>
      </c>
      <c r="X78" t="s">
        <v>354</v>
      </c>
      <c r="Y78" t="s">
        <v>458</v>
      </c>
      <c r="Z78" t="s">
        <v>459</v>
      </c>
      <c r="AA78" t="s">
        <v>1786</v>
      </c>
      <c r="AB78" t="s">
        <v>1787</v>
      </c>
      <c r="AC78" t="s">
        <v>1788</v>
      </c>
      <c r="AD78" t="s">
        <v>1789</v>
      </c>
      <c r="AE78" t="s">
        <v>1790</v>
      </c>
      <c r="AF78" t="s">
        <v>74</v>
      </c>
      <c r="AG78">
        <v>42</v>
      </c>
      <c r="AH78">
        <v>3</v>
      </c>
      <c r="AI78">
        <v>3</v>
      </c>
      <c r="AJ78">
        <v>2</v>
      </c>
      <c r="AK78">
        <v>9</v>
      </c>
      <c r="AL78" t="s">
        <v>227</v>
      </c>
      <c r="AM78" t="s">
        <v>228</v>
      </c>
      <c r="AN78" t="s">
        <v>229</v>
      </c>
      <c r="AO78" t="s">
        <v>230</v>
      </c>
      <c r="AP78" t="s">
        <v>74</v>
      </c>
      <c r="AQ78" t="s">
        <v>74</v>
      </c>
      <c r="AR78" t="s">
        <v>231</v>
      </c>
      <c r="AS78" t="s">
        <v>232</v>
      </c>
      <c r="AT78" t="s">
        <v>185</v>
      </c>
      <c r="AU78">
        <v>2024</v>
      </c>
      <c r="AV78">
        <v>17</v>
      </c>
      <c r="AW78" t="s">
        <v>74</v>
      </c>
      <c r="AX78" t="s">
        <v>74</v>
      </c>
      <c r="AY78" t="s">
        <v>74</v>
      </c>
      <c r="AZ78" t="s">
        <v>74</v>
      </c>
      <c r="BA78" t="s">
        <v>74</v>
      </c>
      <c r="BB78" t="s">
        <v>74</v>
      </c>
      <c r="BC78" t="s">
        <v>74</v>
      </c>
      <c r="BD78">
        <v>100235</v>
      </c>
      <c r="BE78" t="s">
        <v>1791</v>
      </c>
      <c r="BF78" t="str">
        <f>HYPERLINK("http://dx.doi.org/10.1016/j.giant.2023.100235","http://dx.doi.org/10.1016/j.giant.2023.100235")</f>
        <v>http://dx.doi.org/10.1016/j.giant.2023.100235</v>
      </c>
      <c r="BG78" t="s">
        <v>74</v>
      </c>
      <c r="BH78" t="s">
        <v>234</v>
      </c>
      <c r="BI78">
        <v>9</v>
      </c>
      <c r="BJ78" t="s">
        <v>235</v>
      </c>
      <c r="BK78" t="s">
        <v>236</v>
      </c>
      <c r="BL78" t="s">
        <v>237</v>
      </c>
      <c r="BM78" t="s">
        <v>1792</v>
      </c>
      <c r="BN78" t="s">
        <v>74</v>
      </c>
      <c r="BO78" t="s">
        <v>558</v>
      </c>
      <c r="BP78" t="s">
        <v>74</v>
      </c>
      <c r="BQ78" t="s">
        <v>74</v>
      </c>
      <c r="BR78" t="s">
        <v>106</v>
      </c>
      <c r="BS78" t="s">
        <v>1793</v>
      </c>
      <c r="BT78" t="str">
        <f>HYPERLINK("https%3A%2F%2Fwww.webofscience.com%2Fwos%2Fwoscc%2Ffull-record%2FWOS:001164035700001","View Full Record in Web of Science")</f>
        <v>View Full Record in Web of Science</v>
      </c>
    </row>
    <row r="79" spans="1:72" x14ac:dyDescent="0.15">
      <c r="A79" t="s">
        <v>72</v>
      </c>
      <c r="B79" t="s">
        <v>1794</v>
      </c>
      <c r="C79" t="s">
        <v>74</v>
      </c>
      <c r="D79" t="s">
        <v>74</v>
      </c>
      <c r="E79" t="s">
        <v>74</v>
      </c>
      <c r="F79" t="s">
        <v>1795</v>
      </c>
      <c r="G79" t="s">
        <v>74</v>
      </c>
      <c r="H79" t="s">
        <v>74</v>
      </c>
      <c r="I79" t="s">
        <v>1796</v>
      </c>
      <c r="J79" t="s">
        <v>1797</v>
      </c>
      <c r="K79" t="s">
        <v>74</v>
      </c>
      <c r="L79" t="s">
        <v>74</v>
      </c>
      <c r="M79" t="s">
        <v>78</v>
      </c>
      <c r="N79" t="s">
        <v>79</v>
      </c>
      <c r="O79" t="s">
        <v>74</v>
      </c>
      <c r="P79" t="s">
        <v>74</v>
      </c>
      <c r="Q79" t="s">
        <v>74</v>
      </c>
      <c r="R79" t="s">
        <v>74</v>
      </c>
      <c r="S79" t="s">
        <v>74</v>
      </c>
      <c r="T79" t="s">
        <v>1798</v>
      </c>
      <c r="U79" t="s">
        <v>1799</v>
      </c>
      <c r="V79" t="s">
        <v>1800</v>
      </c>
      <c r="W79" t="s">
        <v>1801</v>
      </c>
      <c r="X79" t="s">
        <v>1802</v>
      </c>
      <c r="Y79" t="s">
        <v>484</v>
      </c>
      <c r="Z79" t="s">
        <v>485</v>
      </c>
      <c r="AA79" t="s">
        <v>1803</v>
      </c>
      <c r="AB79" t="s">
        <v>1804</v>
      </c>
      <c r="AC79" t="s">
        <v>1805</v>
      </c>
      <c r="AD79" t="s">
        <v>1806</v>
      </c>
      <c r="AE79" t="s">
        <v>1807</v>
      </c>
      <c r="AF79" t="s">
        <v>74</v>
      </c>
      <c r="AG79">
        <v>55</v>
      </c>
      <c r="AH79">
        <v>6</v>
      </c>
      <c r="AI79">
        <v>6</v>
      </c>
      <c r="AJ79">
        <v>2</v>
      </c>
      <c r="AK79">
        <v>3</v>
      </c>
      <c r="AL79" t="s">
        <v>1808</v>
      </c>
      <c r="AM79" t="s">
        <v>1809</v>
      </c>
      <c r="AN79" t="s">
        <v>1810</v>
      </c>
      <c r="AO79" t="s">
        <v>1811</v>
      </c>
      <c r="AP79" t="s">
        <v>74</v>
      </c>
      <c r="AQ79" t="s">
        <v>74</v>
      </c>
      <c r="AR79" t="s">
        <v>1812</v>
      </c>
      <c r="AS79" t="s">
        <v>1813</v>
      </c>
      <c r="AT79" t="s">
        <v>1481</v>
      </c>
      <c r="AU79">
        <v>2025</v>
      </c>
      <c r="AV79">
        <v>58</v>
      </c>
      <c r="AW79" t="s">
        <v>74</v>
      </c>
      <c r="AX79">
        <v>3</v>
      </c>
      <c r="AY79" t="s">
        <v>74</v>
      </c>
      <c r="AZ79" t="s">
        <v>74</v>
      </c>
      <c r="BA79" t="s">
        <v>74</v>
      </c>
      <c r="BB79">
        <v>992</v>
      </c>
      <c r="BC79">
        <v>999</v>
      </c>
      <c r="BD79" t="s">
        <v>74</v>
      </c>
      <c r="BE79" t="s">
        <v>1814</v>
      </c>
      <c r="BF79" t="str">
        <f>HYPERLINK("http://dx.doi.org/10.1107/S1600576725003280","http://dx.doi.org/10.1107/S1600576725003280")</f>
        <v>http://dx.doi.org/10.1107/S1600576725003280</v>
      </c>
      <c r="BG79" t="s">
        <v>74</v>
      </c>
      <c r="BH79" t="s">
        <v>74</v>
      </c>
      <c r="BI79">
        <v>8</v>
      </c>
      <c r="BJ79" t="s">
        <v>1815</v>
      </c>
      <c r="BK79" t="s">
        <v>103</v>
      </c>
      <c r="BL79" t="s">
        <v>1816</v>
      </c>
      <c r="BM79" t="s">
        <v>1817</v>
      </c>
      <c r="BN79">
        <v>40475933</v>
      </c>
      <c r="BO79" t="s">
        <v>136</v>
      </c>
      <c r="BP79" t="s">
        <v>74</v>
      </c>
      <c r="BQ79" t="s">
        <v>74</v>
      </c>
      <c r="BR79" t="s">
        <v>106</v>
      </c>
      <c r="BS79" t="s">
        <v>1818</v>
      </c>
      <c r="BT79" t="str">
        <f>HYPERLINK("https%3A%2F%2Fwww.webofscience.com%2Fwos%2Fwoscc%2Ffull-record%2FWOS:001506164800030","View Full Record in Web of Science")</f>
        <v>View Full Record in Web of Science</v>
      </c>
    </row>
    <row r="80" spans="1:72" x14ac:dyDescent="0.15">
      <c r="A80" t="s">
        <v>72</v>
      </c>
      <c r="B80" t="s">
        <v>1819</v>
      </c>
      <c r="C80" t="s">
        <v>74</v>
      </c>
      <c r="D80" t="s">
        <v>74</v>
      </c>
      <c r="E80" t="s">
        <v>74</v>
      </c>
      <c r="F80" t="s">
        <v>1820</v>
      </c>
      <c r="G80" t="s">
        <v>74</v>
      </c>
      <c r="H80" t="s">
        <v>74</v>
      </c>
      <c r="I80" t="s">
        <v>1821</v>
      </c>
      <c r="J80" t="s">
        <v>1822</v>
      </c>
      <c r="K80" t="s">
        <v>74</v>
      </c>
      <c r="L80" t="s">
        <v>74</v>
      </c>
      <c r="M80" t="s">
        <v>78</v>
      </c>
      <c r="N80" t="s">
        <v>79</v>
      </c>
      <c r="O80" t="s">
        <v>74</v>
      </c>
      <c r="P80" t="s">
        <v>74</v>
      </c>
      <c r="Q80" t="s">
        <v>74</v>
      </c>
      <c r="R80" t="s">
        <v>74</v>
      </c>
      <c r="S80" t="s">
        <v>74</v>
      </c>
      <c r="T80" t="s">
        <v>74</v>
      </c>
      <c r="U80" t="s">
        <v>1823</v>
      </c>
      <c r="V80" t="s">
        <v>1824</v>
      </c>
      <c r="W80" t="s">
        <v>1825</v>
      </c>
      <c r="X80" t="s">
        <v>1826</v>
      </c>
      <c r="Y80" t="s">
        <v>1010</v>
      </c>
      <c r="Z80" t="s">
        <v>1011</v>
      </c>
      <c r="AA80" t="s">
        <v>1827</v>
      </c>
      <c r="AB80" t="s">
        <v>1828</v>
      </c>
      <c r="AC80" t="s">
        <v>1829</v>
      </c>
      <c r="AD80" t="s">
        <v>1830</v>
      </c>
      <c r="AE80" t="s">
        <v>1831</v>
      </c>
      <c r="AF80" t="s">
        <v>74</v>
      </c>
      <c r="AG80">
        <v>62</v>
      </c>
      <c r="AH80">
        <v>35</v>
      </c>
      <c r="AI80">
        <v>39</v>
      </c>
      <c r="AJ80">
        <v>3</v>
      </c>
      <c r="AK80">
        <v>55</v>
      </c>
      <c r="AL80" t="s">
        <v>292</v>
      </c>
      <c r="AM80" t="s">
        <v>293</v>
      </c>
      <c r="AN80" t="s">
        <v>294</v>
      </c>
      <c r="AO80" t="s">
        <v>1832</v>
      </c>
      <c r="AP80" t="s">
        <v>1833</v>
      </c>
      <c r="AQ80" t="s">
        <v>74</v>
      </c>
      <c r="AR80" t="s">
        <v>1834</v>
      </c>
      <c r="AS80" t="s">
        <v>1835</v>
      </c>
      <c r="AT80" t="s">
        <v>419</v>
      </c>
      <c r="AU80">
        <v>2024</v>
      </c>
      <c r="AV80">
        <v>23</v>
      </c>
      <c r="AW80">
        <v>5</v>
      </c>
      <c r="AX80" t="s">
        <v>74</v>
      </c>
      <c r="AY80" t="s">
        <v>74</v>
      </c>
      <c r="AZ80" t="s">
        <v>74</v>
      </c>
      <c r="BA80" t="s">
        <v>74</v>
      </c>
      <c r="BB80" t="s">
        <v>74</v>
      </c>
      <c r="BC80" t="s">
        <v>74</v>
      </c>
      <c r="BD80" t="s">
        <v>74</v>
      </c>
      <c r="BE80" t="s">
        <v>1836</v>
      </c>
      <c r="BF80" t="str">
        <f>HYPERLINK("http://dx.doi.org/10.1038/s41563-024-01828-w","http://dx.doi.org/10.1038/s41563-024-01828-w")</f>
        <v>http://dx.doi.org/10.1038/s41563-024-01828-w</v>
      </c>
      <c r="BG80" t="s">
        <v>74</v>
      </c>
      <c r="BH80" t="s">
        <v>367</v>
      </c>
      <c r="BI80">
        <v>11</v>
      </c>
      <c r="BJ80" t="s">
        <v>1837</v>
      </c>
      <c r="BK80" t="s">
        <v>103</v>
      </c>
      <c r="BL80" t="s">
        <v>1838</v>
      </c>
      <c r="BM80" t="s">
        <v>1839</v>
      </c>
      <c r="BN80">
        <v>38413812</v>
      </c>
      <c r="BO80" t="s">
        <v>105</v>
      </c>
      <c r="BP80" t="s">
        <v>74</v>
      </c>
      <c r="BQ80" t="s">
        <v>74</v>
      </c>
      <c r="BR80" t="s">
        <v>106</v>
      </c>
      <c r="BS80" t="s">
        <v>1840</v>
      </c>
      <c r="BT80" t="str">
        <f>HYPERLINK("https%3A%2F%2Fwww.webofscience.com%2Fwos%2Fwoscc%2Ffull-record%2FWOS:001177508400004","View Full Record in Web of Science")</f>
        <v>View Full Record in Web of Science</v>
      </c>
    </row>
    <row r="81" spans="1:72" x14ac:dyDescent="0.15">
      <c r="A81" t="s">
        <v>72</v>
      </c>
      <c r="B81" t="s">
        <v>1841</v>
      </c>
      <c r="C81" t="s">
        <v>74</v>
      </c>
      <c r="D81" t="s">
        <v>74</v>
      </c>
      <c r="E81" t="s">
        <v>74</v>
      </c>
      <c r="F81" t="s">
        <v>1842</v>
      </c>
      <c r="G81" t="s">
        <v>74</v>
      </c>
      <c r="H81" t="s">
        <v>74</v>
      </c>
      <c r="I81" t="s">
        <v>1843</v>
      </c>
      <c r="J81" t="s">
        <v>280</v>
      </c>
      <c r="K81" t="s">
        <v>74</v>
      </c>
      <c r="L81" t="s">
        <v>74</v>
      </c>
      <c r="M81" t="s">
        <v>78</v>
      </c>
      <c r="N81" t="s">
        <v>79</v>
      </c>
      <c r="O81" t="s">
        <v>74</v>
      </c>
      <c r="P81" t="s">
        <v>74</v>
      </c>
      <c r="Q81" t="s">
        <v>74</v>
      </c>
      <c r="R81" t="s">
        <v>74</v>
      </c>
      <c r="S81" t="s">
        <v>74</v>
      </c>
      <c r="T81" t="s">
        <v>74</v>
      </c>
      <c r="U81" t="s">
        <v>1844</v>
      </c>
      <c r="V81" t="s">
        <v>1845</v>
      </c>
      <c r="W81" t="s">
        <v>1846</v>
      </c>
      <c r="X81" t="s">
        <v>1847</v>
      </c>
      <c r="Y81" t="s">
        <v>1848</v>
      </c>
      <c r="Z81" t="s">
        <v>74</v>
      </c>
      <c r="AA81" t="s">
        <v>1849</v>
      </c>
      <c r="AB81" t="s">
        <v>1850</v>
      </c>
      <c r="AC81" t="s">
        <v>1851</v>
      </c>
      <c r="AD81" t="s">
        <v>1852</v>
      </c>
      <c r="AE81" t="s">
        <v>1853</v>
      </c>
      <c r="AF81" t="s">
        <v>74</v>
      </c>
      <c r="AG81">
        <v>80</v>
      </c>
      <c r="AH81">
        <v>16</v>
      </c>
      <c r="AI81">
        <v>16</v>
      </c>
      <c r="AJ81">
        <v>5</v>
      </c>
      <c r="AK81">
        <v>65</v>
      </c>
      <c r="AL81" t="s">
        <v>292</v>
      </c>
      <c r="AM81" t="s">
        <v>293</v>
      </c>
      <c r="AN81" t="s">
        <v>294</v>
      </c>
      <c r="AO81" t="s">
        <v>74</v>
      </c>
      <c r="AP81" t="s">
        <v>295</v>
      </c>
      <c r="AQ81" t="s">
        <v>74</v>
      </c>
      <c r="AR81" t="s">
        <v>296</v>
      </c>
      <c r="AS81" t="s">
        <v>297</v>
      </c>
      <c r="AT81" t="s">
        <v>1854</v>
      </c>
      <c r="AU81">
        <v>2024</v>
      </c>
      <c r="AV81">
        <v>15</v>
      </c>
      <c r="AW81">
        <v>1</v>
      </c>
      <c r="AX81" t="s">
        <v>74</v>
      </c>
      <c r="AY81" t="s">
        <v>74</v>
      </c>
      <c r="AZ81" t="s">
        <v>74</v>
      </c>
      <c r="BA81" t="s">
        <v>74</v>
      </c>
      <c r="BB81" t="s">
        <v>74</v>
      </c>
      <c r="BC81" t="s">
        <v>74</v>
      </c>
      <c r="BD81">
        <v>3121</v>
      </c>
      <c r="BE81" t="s">
        <v>1855</v>
      </c>
      <c r="BF81" t="str">
        <f>HYPERLINK("http://dx.doi.org/10.1038/s41467-024-47110-0","http://dx.doi.org/10.1038/s41467-024-47110-0")</f>
        <v>http://dx.doi.org/10.1038/s41467-024-47110-0</v>
      </c>
      <c r="BG81" t="s">
        <v>74</v>
      </c>
      <c r="BH81" t="s">
        <v>74</v>
      </c>
      <c r="BI81">
        <v>11</v>
      </c>
      <c r="BJ81" t="s">
        <v>300</v>
      </c>
      <c r="BK81" t="s">
        <v>103</v>
      </c>
      <c r="BL81" t="s">
        <v>301</v>
      </c>
      <c r="BM81" t="s">
        <v>1856</v>
      </c>
      <c r="BN81">
        <v>38600060</v>
      </c>
      <c r="BO81" t="s">
        <v>191</v>
      </c>
      <c r="BP81" t="s">
        <v>74</v>
      </c>
      <c r="BQ81" t="s">
        <v>74</v>
      </c>
      <c r="BR81" t="s">
        <v>106</v>
      </c>
      <c r="BS81" t="s">
        <v>1857</v>
      </c>
      <c r="BT81" t="str">
        <f>HYPERLINK("https%3A%2F%2Fwww.webofscience.com%2Fwos%2Fwoscc%2Ffull-record%2FWOS:001202408400025","View Full Record in Web of Science")</f>
        <v>View Full Record in Web of Science</v>
      </c>
    </row>
    <row r="82" spans="1:72" x14ac:dyDescent="0.15">
      <c r="A82" t="s">
        <v>72</v>
      </c>
      <c r="B82" t="s">
        <v>1858</v>
      </c>
      <c r="C82" t="s">
        <v>74</v>
      </c>
      <c r="D82" t="s">
        <v>74</v>
      </c>
      <c r="E82" t="s">
        <v>74</v>
      </c>
      <c r="F82" t="s">
        <v>1859</v>
      </c>
      <c r="G82" t="s">
        <v>74</v>
      </c>
      <c r="H82" t="s">
        <v>74</v>
      </c>
      <c r="I82" t="s">
        <v>1860</v>
      </c>
      <c r="J82" t="s">
        <v>429</v>
      </c>
      <c r="K82" t="s">
        <v>74</v>
      </c>
      <c r="L82" t="s">
        <v>74</v>
      </c>
      <c r="M82" t="s">
        <v>78</v>
      </c>
      <c r="N82" t="s">
        <v>79</v>
      </c>
      <c r="O82" t="s">
        <v>74</v>
      </c>
      <c r="P82" t="s">
        <v>74</v>
      </c>
      <c r="Q82" t="s">
        <v>74</v>
      </c>
      <c r="R82" t="s">
        <v>74</v>
      </c>
      <c r="S82" t="s">
        <v>74</v>
      </c>
      <c r="T82" t="s">
        <v>1861</v>
      </c>
      <c r="U82" t="s">
        <v>1862</v>
      </c>
      <c r="V82" t="s">
        <v>1863</v>
      </c>
      <c r="W82" t="s">
        <v>1864</v>
      </c>
      <c r="X82" t="s">
        <v>1865</v>
      </c>
      <c r="Y82" t="s">
        <v>1866</v>
      </c>
      <c r="Z82" t="s">
        <v>1695</v>
      </c>
      <c r="AA82" t="s">
        <v>1867</v>
      </c>
      <c r="AB82" t="s">
        <v>1868</v>
      </c>
      <c r="AC82" t="s">
        <v>1869</v>
      </c>
      <c r="AD82" t="s">
        <v>1870</v>
      </c>
      <c r="AE82" t="s">
        <v>1871</v>
      </c>
      <c r="AF82" t="s">
        <v>74</v>
      </c>
      <c r="AG82">
        <v>56</v>
      </c>
      <c r="AH82">
        <v>25</v>
      </c>
      <c r="AI82">
        <v>26</v>
      </c>
      <c r="AJ82">
        <v>7</v>
      </c>
      <c r="AK82">
        <v>94</v>
      </c>
      <c r="AL82" t="s">
        <v>152</v>
      </c>
      <c r="AM82" t="s">
        <v>153</v>
      </c>
      <c r="AN82" t="s">
        <v>154</v>
      </c>
      <c r="AO82" t="s">
        <v>440</v>
      </c>
      <c r="AP82" t="s">
        <v>441</v>
      </c>
      <c r="AQ82" t="s">
        <v>74</v>
      </c>
      <c r="AR82" t="s">
        <v>442</v>
      </c>
      <c r="AS82" t="s">
        <v>443</v>
      </c>
      <c r="AT82" t="s">
        <v>1872</v>
      </c>
      <c r="AU82">
        <v>2023</v>
      </c>
      <c r="AV82">
        <v>15</v>
      </c>
      <c r="AW82">
        <v>41</v>
      </c>
      <c r="AX82" t="s">
        <v>74</v>
      </c>
      <c r="AY82" t="s">
        <v>74</v>
      </c>
      <c r="AZ82" t="s">
        <v>74</v>
      </c>
      <c r="BA82" t="s">
        <v>74</v>
      </c>
      <c r="BB82">
        <v>48716</v>
      </c>
      <c r="BC82">
        <v>48724</v>
      </c>
      <c r="BD82" t="s">
        <v>74</v>
      </c>
      <c r="BE82" t="s">
        <v>1873</v>
      </c>
      <c r="BF82" t="str">
        <f>HYPERLINK("http://dx.doi.org/10.1021/acsami.3c11338","http://dx.doi.org/10.1021/acsami.3c11338")</f>
        <v>http://dx.doi.org/10.1021/acsami.3c11338</v>
      </c>
      <c r="BG82" t="s">
        <v>74</v>
      </c>
      <c r="BH82" t="s">
        <v>1874</v>
      </c>
      <c r="BI82">
        <v>9</v>
      </c>
      <c r="BJ82" t="s">
        <v>446</v>
      </c>
      <c r="BK82" t="s">
        <v>103</v>
      </c>
      <c r="BL82" t="s">
        <v>447</v>
      </c>
      <c r="BM82" t="s">
        <v>1875</v>
      </c>
      <c r="BN82">
        <v>37812501</v>
      </c>
      <c r="BO82" t="s">
        <v>74</v>
      </c>
      <c r="BP82" t="s">
        <v>74</v>
      </c>
      <c r="BQ82" t="s">
        <v>74</v>
      </c>
      <c r="BR82" t="s">
        <v>106</v>
      </c>
      <c r="BS82" t="s">
        <v>1876</v>
      </c>
      <c r="BT82" t="str">
        <f>HYPERLINK("https%3A%2F%2Fwww.webofscience.com%2Fwos%2Fwoscc%2Ffull-record%2FWOS:001082564500001","View Full Record in Web of Science")</f>
        <v>View Full Record in Web of Science</v>
      </c>
    </row>
    <row r="83" spans="1:72" x14ac:dyDescent="0.15">
      <c r="A83" t="s">
        <v>72</v>
      </c>
      <c r="B83" t="s">
        <v>1877</v>
      </c>
      <c r="C83" t="s">
        <v>74</v>
      </c>
      <c r="D83" t="s">
        <v>74</v>
      </c>
      <c r="E83" t="s">
        <v>74</v>
      </c>
      <c r="F83" t="s">
        <v>1878</v>
      </c>
      <c r="G83" t="s">
        <v>74</v>
      </c>
      <c r="H83" t="s">
        <v>74</v>
      </c>
      <c r="I83" t="s">
        <v>1879</v>
      </c>
      <c r="J83" t="s">
        <v>1880</v>
      </c>
      <c r="K83" t="s">
        <v>74</v>
      </c>
      <c r="L83" t="s">
        <v>74</v>
      </c>
      <c r="M83" t="s">
        <v>78</v>
      </c>
      <c r="N83" t="s">
        <v>79</v>
      </c>
      <c r="O83" t="s">
        <v>74</v>
      </c>
      <c r="P83" t="s">
        <v>74</v>
      </c>
      <c r="Q83" t="s">
        <v>74</v>
      </c>
      <c r="R83" t="s">
        <v>74</v>
      </c>
      <c r="S83" t="s">
        <v>74</v>
      </c>
      <c r="T83" t="s">
        <v>74</v>
      </c>
      <c r="U83" t="s">
        <v>1881</v>
      </c>
      <c r="V83" t="s">
        <v>1882</v>
      </c>
      <c r="W83" t="s">
        <v>1883</v>
      </c>
      <c r="X83" t="s">
        <v>1884</v>
      </c>
      <c r="Y83" t="s">
        <v>813</v>
      </c>
      <c r="Z83" t="s">
        <v>173</v>
      </c>
      <c r="AA83" t="s">
        <v>1885</v>
      </c>
      <c r="AB83" t="s">
        <v>1886</v>
      </c>
      <c r="AC83" t="s">
        <v>1887</v>
      </c>
      <c r="AD83" t="s">
        <v>1888</v>
      </c>
      <c r="AE83" t="s">
        <v>1889</v>
      </c>
      <c r="AF83" t="s">
        <v>74</v>
      </c>
      <c r="AG83">
        <v>49</v>
      </c>
      <c r="AH83">
        <v>19</v>
      </c>
      <c r="AI83">
        <v>19</v>
      </c>
      <c r="AJ83">
        <v>23</v>
      </c>
      <c r="AK83">
        <v>76</v>
      </c>
      <c r="AL83" t="s">
        <v>1890</v>
      </c>
      <c r="AM83" t="s">
        <v>153</v>
      </c>
      <c r="AN83" t="s">
        <v>1891</v>
      </c>
      <c r="AO83" t="s">
        <v>1892</v>
      </c>
      <c r="AP83" t="s">
        <v>74</v>
      </c>
      <c r="AQ83" t="s">
        <v>74</v>
      </c>
      <c r="AR83" t="s">
        <v>1893</v>
      </c>
      <c r="AS83" t="s">
        <v>1894</v>
      </c>
      <c r="AT83" t="s">
        <v>1895</v>
      </c>
      <c r="AU83">
        <v>2025</v>
      </c>
      <c r="AV83">
        <v>11</v>
      </c>
      <c r="AW83">
        <v>7</v>
      </c>
      <c r="AX83" t="s">
        <v>74</v>
      </c>
      <c r="AY83" t="s">
        <v>74</v>
      </c>
      <c r="AZ83" t="s">
        <v>74</v>
      </c>
      <c r="BA83" t="s">
        <v>74</v>
      </c>
      <c r="BB83" t="s">
        <v>74</v>
      </c>
      <c r="BC83" t="s">
        <v>74</v>
      </c>
      <c r="BD83" t="s">
        <v>1896</v>
      </c>
      <c r="BE83" t="s">
        <v>1897</v>
      </c>
      <c r="BF83" t="str">
        <f>HYPERLINK("http://dx.doi.org/10.1126/sciadv.adt6136","http://dx.doi.org/10.1126/sciadv.adt6136")</f>
        <v>http://dx.doi.org/10.1126/sciadv.adt6136</v>
      </c>
      <c r="BG83" t="s">
        <v>74</v>
      </c>
      <c r="BH83" t="s">
        <v>74</v>
      </c>
      <c r="BI83">
        <v>10</v>
      </c>
      <c r="BJ83" t="s">
        <v>300</v>
      </c>
      <c r="BK83" t="s">
        <v>103</v>
      </c>
      <c r="BL83" t="s">
        <v>301</v>
      </c>
      <c r="BM83" t="s">
        <v>1898</v>
      </c>
      <c r="BN83">
        <v>39937905</v>
      </c>
      <c r="BO83" t="s">
        <v>191</v>
      </c>
      <c r="BP83" t="s">
        <v>74</v>
      </c>
      <c r="BQ83" t="s">
        <v>74</v>
      </c>
      <c r="BR83" t="s">
        <v>106</v>
      </c>
      <c r="BS83" t="s">
        <v>1899</v>
      </c>
      <c r="BT83" t="str">
        <f>HYPERLINK("https%3A%2F%2Fwww.webofscience.com%2Fwos%2Fwoscc%2Ffull-record%2FWOS:001420167400024","View Full Record in Web of Science")</f>
        <v>View Full Record in Web of Science</v>
      </c>
    </row>
    <row r="84" spans="1:72" x14ac:dyDescent="0.15">
      <c r="A84" t="s">
        <v>72</v>
      </c>
      <c r="B84" t="s">
        <v>1900</v>
      </c>
      <c r="C84" t="s">
        <v>74</v>
      </c>
      <c r="D84" t="s">
        <v>74</v>
      </c>
      <c r="E84" t="s">
        <v>74</v>
      </c>
      <c r="F84" t="s">
        <v>1901</v>
      </c>
      <c r="G84" t="s">
        <v>74</v>
      </c>
      <c r="H84" t="s">
        <v>74</v>
      </c>
      <c r="I84" t="s">
        <v>1902</v>
      </c>
      <c r="J84" t="s">
        <v>1903</v>
      </c>
      <c r="K84" t="s">
        <v>74</v>
      </c>
      <c r="L84" t="s">
        <v>74</v>
      </c>
      <c r="M84" t="s">
        <v>78</v>
      </c>
      <c r="N84" t="s">
        <v>79</v>
      </c>
      <c r="O84" t="s">
        <v>74</v>
      </c>
      <c r="P84" t="s">
        <v>74</v>
      </c>
      <c r="Q84" t="s">
        <v>74</v>
      </c>
      <c r="R84" t="s">
        <v>74</v>
      </c>
      <c r="S84" t="s">
        <v>74</v>
      </c>
      <c r="T84" t="s">
        <v>74</v>
      </c>
      <c r="U84" t="s">
        <v>1904</v>
      </c>
      <c r="V84" t="s">
        <v>1905</v>
      </c>
      <c r="W84" t="s">
        <v>1906</v>
      </c>
      <c r="X84" t="s">
        <v>1907</v>
      </c>
      <c r="Y84" t="s">
        <v>1908</v>
      </c>
      <c r="Z84" t="s">
        <v>74</v>
      </c>
      <c r="AA84" t="s">
        <v>1909</v>
      </c>
      <c r="AB84" t="s">
        <v>1910</v>
      </c>
      <c r="AC84" t="s">
        <v>1911</v>
      </c>
      <c r="AD84" t="s">
        <v>1912</v>
      </c>
      <c r="AE84" t="s">
        <v>1913</v>
      </c>
      <c r="AF84" t="s">
        <v>74</v>
      </c>
      <c r="AG84">
        <v>55</v>
      </c>
      <c r="AH84">
        <v>3</v>
      </c>
      <c r="AI84">
        <v>3</v>
      </c>
      <c r="AJ84">
        <v>2</v>
      </c>
      <c r="AK84">
        <v>8</v>
      </c>
      <c r="AL84" t="s">
        <v>645</v>
      </c>
      <c r="AM84" t="s">
        <v>646</v>
      </c>
      <c r="AN84" t="s">
        <v>647</v>
      </c>
      <c r="AO84" t="s">
        <v>1914</v>
      </c>
      <c r="AP84" t="s">
        <v>1915</v>
      </c>
      <c r="AQ84" t="s">
        <v>74</v>
      </c>
      <c r="AR84" t="s">
        <v>1916</v>
      </c>
      <c r="AS84" t="s">
        <v>1917</v>
      </c>
      <c r="AT84" t="s">
        <v>272</v>
      </c>
      <c r="AU84">
        <v>2025</v>
      </c>
      <c r="AV84">
        <v>111</v>
      </c>
      <c r="AW84">
        <v>2</v>
      </c>
      <c r="AX84" t="s">
        <v>74</v>
      </c>
      <c r="AY84" t="s">
        <v>74</v>
      </c>
      <c r="AZ84" t="s">
        <v>74</v>
      </c>
      <c r="BA84" t="s">
        <v>74</v>
      </c>
      <c r="BB84" t="s">
        <v>74</v>
      </c>
      <c r="BC84" t="s">
        <v>74</v>
      </c>
      <c r="BD84" t="s">
        <v>1918</v>
      </c>
      <c r="BE84" t="s">
        <v>1919</v>
      </c>
      <c r="BF84" t="str">
        <f>HYPERLINK("http://dx.doi.org/10.1103/PhysRevE.111.L023404","http://dx.doi.org/10.1103/PhysRevE.111.L023404")</f>
        <v>http://dx.doi.org/10.1103/PhysRevE.111.L023404</v>
      </c>
      <c r="BG84" t="s">
        <v>74</v>
      </c>
      <c r="BH84" t="s">
        <v>74</v>
      </c>
      <c r="BI84">
        <v>7</v>
      </c>
      <c r="BJ84" t="s">
        <v>1920</v>
      </c>
      <c r="BK84" t="s">
        <v>103</v>
      </c>
      <c r="BL84" t="s">
        <v>654</v>
      </c>
      <c r="BM84" t="s">
        <v>1921</v>
      </c>
      <c r="BN84">
        <v>40103127</v>
      </c>
      <c r="BO84" t="s">
        <v>74</v>
      </c>
      <c r="BP84" t="s">
        <v>74</v>
      </c>
      <c r="BQ84" t="s">
        <v>74</v>
      </c>
      <c r="BR84" t="s">
        <v>106</v>
      </c>
      <c r="BS84" t="s">
        <v>1922</v>
      </c>
      <c r="BT84" t="str">
        <f>HYPERLINK("https%3A%2F%2Fwww.webofscience.com%2Fwos%2Fwoscc%2Ffull-record%2FWOS:001451345400003","View Full Record in Web of Science")</f>
        <v>View Full Record in Web of Science</v>
      </c>
    </row>
    <row r="85" spans="1:72" x14ac:dyDescent="0.15">
      <c r="A85" t="s">
        <v>72</v>
      </c>
      <c r="B85" t="s">
        <v>1923</v>
      </c>
      <c r="C85" t="s">
        <v>74</v>
      </c>
      <c r="D85" t="s">
        <v>74</v>
      </c>
      <c r="E85" t="s">
        <v>74</v>
      </c>
      <c r="F85" t="s">
        <v>1924</v>
      </c>
      <c r="G85" t="s">
        <v>74</v>
      </c>
      <c r="H85" t="s">
        <v>74</v>
      </c>
      <c r="I85" t="s">
        <v>1925</v>
      </c>
      <c r="J85" t="s">
        <v>1926</v>
      </c>
      <c r="K85" t="s">
        <v>74</v>
      </c>
      <c r="L85" t="s">
        <v>74</v>
      </c>
      <c r="M85" t="s">
        <v>78</v>
      </c>
      <c r="N85" t="s">
        <v>79</v>
      </c>
      <c r="O85" t="s">
        <v>74</v>
      </c>
      <c r="P85" t="s">
        <v>74</v>
      </c>
      <c r="Q85" t="s">
        <v>74</v>
      </c>
      <c r="R85" t="s">
        <v>74</v>
      </c>
      <c r="S85" t="s">
        <v>74</v>
      </c>
      <c r="T85" t="s">
        <v>74</v>
      </c>
      <c r="U85" t="s">
        <v>1927</v>
      </c>
      <c r="V85" t="s">
        <v>1928</v>
      </c>
      <c r="W85" t="s">
        <v>1929</v>
      </c>
      <c r="X85" t="s">
        <v>1930</v>
      </c>
      <c r="Y85" t="s">
        <v>1931</v>
      </c>
      <c r="Z85" t="s">
        <v>1932</v>
      </c>
      <c r="AA85" t="s">
        <v>1933</v>
      </c>
      <c r="AB85" t="s">
        <v>1934</v>
      </c>
      <c r="AC85" t="s">
        <v>1935</v>
      </c>
      <c r="AD85" t="s">
        <v>1936</v>
      </c>
      <c r="AE85" t="s">
        <v>1937</v>
      </c>
      <c r="AF85" t="s">
        <v>74</v>
      </c>
      <c r="AG85">
        <v>77</v>
      </c>
      <c r="AH85">
        <v>9</v>
      </c>
      <c r="AI85">
        <v>10</v>
      </c>
      <c r="AJ85">
        <v>8</v>
      </c>
      <c r="AK85">
        <v>23</v>
      </c>
      <c r="AL85" t="s">
        <v>898</v>
      </c>
      <c r="AM85" t="s">
        <v>124</v>
      </c>
      <c r="AN85" t="s">
        <v>899</v>
      </c>
      <c r="AO85" t="s">
        <v>74</v>
      </c>
      <c r="AP85" t="s">
        <v>1938</v>
      </c>
      <c r="AQ85" t="s">
        <v>74</v>
      </c>
      <c r="AR85" t="s">
        <v>1926</v>
      </c>
      <c r="AS85" t="s">
        <v>1939</v>
      </c>
      <c r="AT85" t="s">
        <v>1940</v>
      </c>
      <c r="AU85">
        <v>2025</v>
      </c>
      <c r="AV85">
        <v>28</v>
      </c>
      <c r="AW85">
        <v>3</v>
      </c>
      <c r="AX85" t="s">
        <v>74</v>
      </c>
      <c r="AY85" t="s">
        <v>74</v>
      </c>
      <c r="AZ85" t="s">
        <v>74</v>
      </c>
      <c r="BA85" t="s">
        <v>74</v>
      </c>
      <c r="BB85" t="s">
        <v>74</v>
      </c>
      <c r="BC85" t="s">
        <v>74</v>
      </c>
      <c r="BD85">
        <v>111851</v>
      </c>
      <c r="BE85" t="s">
        <v>1941</v>
      </c>
      <c r="BF85" t="str">
        <f>HYPERLINK("http://dx.doi.org/10.1016/j.isci.2025.111851","http://dx.doi.org/10.1016/j.isci.2025.111851")</f>
        <v>http://dx.doi.org/10.1016/j.isci.2025.111851</v>
      </c>
      <c r="BG85" t="s">
        <v>74</v>
      </c>
      <c r="BH85" t="s">
        <v>274</v>
      </c>
      <c r="BI85">
        <v>14</v>
      </c>
      <c r="BJ85" t="s">
        <v>300</v>
      </c>
      <c r="BK85" t="s">
        <v>103</v>
      </c>
      <c r="BL85" t="s">
        <v>301</v>
      </c>
      <c r="BM85" t="s">
        <v>1942</v>
      </c>
      <c r="BN85">
        <v>40040807</v>
      </c>
      <c r="BO85" t="s">
        <v>191</v>
      </c>
      <c r="BP85" t="s">
        <v>74</v>
      </c>
      <c r="BQ85" t="s">
        <v>74</v>
      </c>
      <c r="BR85" t="s">
        <v>106</v>
      </c>
      <c r="BS85" t="s">
        <v>1943</v>
      </c>
      <c r="BT85" t="str">
        <f>HYPERLINK("https%3A%2F%2Fwww.webofscience.com%2Fwos%2Fwoscc%2Ffull-record%2FWOS:001428842700001","View Full Record in Web of Science")</f>
        <v>View Full Record in Web of Science</v>
      </c>
    </row>
    <row r="86" spans="1:72" x14ac:dyDescent="0.15">
      <c r="A86" t="s">
        <v>72</v>
      </c>
      <c r="B86" t="s">
        <v>1944</v>
      </c>
      <c r="C86" t="s">
        <v>74</v>
      </c>
      <c r="D86" t="s">
        <v>74</v>
      </c>
      <c r="E86" t="s">
        <v>74</v>
      </c>
      <c r="F86" t="s">
        <v>1945</v>
      </c>
      <c r="G86" t="s">
        <v>74</v>
      </c>
      <c r="H86" t="s">
        <v>74</v>
      </c>
      <c r="I86" t="s">
        <v>1946</v>
      </c>
      <c r="J86" t="s">
        <v>479</v>
      </c>
      <c r="K86" t="s">
        <v>74</v>
      </c>
      <c r="L86" t="s">
        <v>74</v>
      </c>
      <c r="M86" t="s">
        <v>78</v>
      </c>
      <c r="N86" t="s">
        <v>79</v>
      </c>
      <c r="O86" t="s">
        <v>74</v>
      </c>
      <c r="P86" t="s">
        <v>74</v>
      </c>
      <c r="Q86" t="s">
        <v>74</v>
      </c>
      <c r="R86" t="s">
        <v>74</v>
      </c>
      <c r="S86" t="s">
        <v>74</v>
      </c>
      <c r="T86" t="s">
        <v>74</v>
      </c>
      <c r="U86" t="s">
        <v>1947</v>
      </c>
      <c r="V86" t="s">
        <v>1948</v>
      </c>
      <c r="W86" t="s">
        <v>1949</v>
      </c>
      <c r="X86" t="s">
        <v>1515</v>
      </c>
      <c r="Y86" t="s">
        <v>1950</v>
      </c>
      <c r="Z86" t="s">
        <v>1951</v>
      </c>
      <c r="AA86" t="s">
        <v>1952</v>
      </c>
      <c r="AB86" t="s">
        <v>1953</v>
      </c>
      <c r="AC86" t="s">
        <v>1954</v>
      </c>
      <c r="AD86" t="s">
        <v>1955</v>
      </c>
      <c r="AE86" t="s">
        <v>1956</v>
      </c>
      <c r="AF86" t="s">
        <v>74</v>
      </c>
      <c r="AG86">
        <v>80</v>
      </c>
      <c r="AH86">
        <v>0</v>
      </c>
      <c r="AI86">
        <v>0</v>
      </c>
      <c r="AJ86">
        <v>7</v>
      </c>
      <c r="AK86">
        <v>7</v>
      </c>
      <c r="AL86" t="s">
        <v>491</v>
      </c>
      <c r="AM86" t="s">
        <v>124</v>
      </c>
      <c r="AN86" t="s">
        <v>492</v>
      </c>
      <c r="AO86" t="s">
        <v>493</v>
      </c>
      <c r="AP86" t="s">
        <v>494</v>
      </c>
      <c r="AQ86" t="s">
        <v>74</v>
      </c>
      <c r="AR86" t="s">
        <v>479</v>
      </c>
      <c r="AS86" t="s">
        <v>495</v>
      </c>
      <c r="AT86" t="s">
        <v>1503</v>
      </c>
      <c r="AU86">
        <v>2026</v>
      </c>
      <c r="AV86">
        <v>22</v>
      </c>
      <c r="AW86">
        <v>15</v>
      </c>
      <c r="AX86" t="s">
        <v>74</v>
      </c>
      <c r="AY86" t="s">
        <v>74</v>
      </c>
      <c r="AZ86" t="s">
        <v>74</v>
      </c>
      <c r="BA86" t="s">
        <v>74</v>
      </c>
      <c r="BB86">
        <v>2907</v>
      </c>
      <c r="BC86">
        <v>2924</v>
      </c>
      <c r="BD86" t="s">
        <v>74</v>
      </c>
      <c r="BE86" t="s">
        <v>1957</v>
      </c>
      <c r="BF86" t="str">
        <f>HYPERLINK("http://dx.doi.org/10.1039/d6sm00060f","http://dx.doi.org/10.1039/d6sm00060f")</f>
        <v>http://dx.doi.org/10.1039/d6sm00060f</v>
      </c>
      <c r="BG86" t="s">
        <v>74</v>
      </c>
      <c r="BH86" t="s">
        <v>1958</v>
      </c>
      <c r="BI86">
        <v>18</v>
      </c>
      <c r="BJ86" t="s">
        <v>499</v>
      </c>
      <c r="BK86" t="s">
        <v>103</v>
      </c>
      <c r="BL86" t="s">
        <v>500</v>
      </c>
      <c r="BM86" t="s">
        <v>1959</v>
      </c>
      <c r="BN86">
        <v>41919661</v>
      </c>
      <c r="BO86" t="s">
        <v>344</v>
      </c>
      <c r="BP86" t="s">
        <v>74</v>
      </c>
      <c r="BQ86" t="s">
        <v>74</v>
      </c>
      <c r="BR86" t="s">
        <v>106</v>
      </c>
      <c r="BS86" t="s">
        <v>1960</v>
      </c>
      <c r="BT86" t="str">
        <f>HYPERLINK("https%3A%2F%2Fwww.webofscience.com%2Fwos%2Fwoscc%2Ffull-record%2FWOS:001730755300001","View Full Record in Web of Science")</f>
        <v>View Full Record in Web of Science</v>
      </c>
    </row>
    <row r="87" spans="1:72" x14ac:dyDescent="0.15">
      <c r="A87" t="s">
        <v>72</v>
      </c>
      <c r="B87" t="s">
        <v>1961</v>
      </c>
      <c r="C87" t="s">
        <v>74</v>
      </c>
      <c r="D87" t="s">
        <v>74</v>
      </c>
      <c r="E87" t="s">
        <v>74</v>
      </c>
      <c r="F87" t="s">
        <v>1962</v>
      </c>
      <c r="G87" t="s">
        <v>74</v>
      </c>
      <c r="H87" t="s">
        <v>74</v>
      </c>
      <c r="I87" t="s">
        <v>1963</v>
      </c>
      <c r="J87" t="s">
        <v>842</v>
      </c>
      <c r="K87" t="s">
        <v>74</v>
      </c>
      <c r="L87" t="s">
        <v>74</v>
      </c>
      <c r="M87" t="s">
        <v>78</v>
      </c>
      <c r="N87" t="s">
        <v>79</v>
      </c>
      <c r="O87" t="s">
        <v>74</v>
      </c>
      <c r="P87" t="s">
        <v>74</v>
      </c>
      <c r="Q87" t="s">
        <v>74</v>
      </c>
      <c r="R87" t="s">
        <v>74</v>
      </c>
      <c r="S87" t="s">
        <v>74</v>
      </c>
      <c r="T87" t="s">
        <v>74</v>
      </c>
      <c r="U87" t="s">
        <v>1964</v>
      </c>
      <c r="V87" t="s">
        <v>1965</v>
      </c>
      <c r="W87" t="s">
        <v>1966</v>
      </c>
      <c r="X87" t="s">
        <v>354</v>
      </c>
      <c r="Y87" t="s">
        <v>458</v>
      </c>
      <c r="Z87" t="s">
        <v>459</v>
      </c>
      <c r="AA87" t="s">
        <v>1967</v>
      </c>
      <c r="AB87" t="s">
        <v>1968</v>
      </c>
      <c r="AC87" t="s">
        <v>1969</v>
      </c>
      <c r="AD87" t="s">
        <v>1970</v>
      </c>
      <c r="AE87" t="s">
        <v>1971</v>
      </c>
      <c r="AF87" t="s">
        <v>74</v>
      </c>
      <c r="AG87">
        <v>54</v>
      </c>
      <c r="AH87">
        <v>0</v>
      </c>
      <c r="AI87">
        <v>0</v>
      </c>
      <c r="AJ87">
        <v>2</v>
      </c>
      <c r="AK87">
        <v>4</v>
      </c>
      <c r="AL87" t="s">
        <v>152</v>
      </c>
      <c r="AM87" t="s">
        <v>153</v>
      </c>
      <c r="AN87" t="s">
        <v>154</v>
      </c>
      <c r="AO87" t="s">
        <v>74</v>
      </c>
      <c r="AP87" t="s">
        <v>853</v>
      </c>
      <c r="AQ87" t="s">
        <v>74</v>
      </c>
      <c r="AR87" t="s">
        <v>854</v>
      </c>
      <c r="AS87" t="s">
        <v>855</v>
      </c>
      <c r="AT87" t="s">
        <v>1972</v>
      </c>
      <c r="AU87">
        <v>2025</v>
      </c>
      <c r="AV87">
        <v>7</v>
      </c>
      <c r="AW87">
        <v>8</v>
      </c>
      <c r="AX87" t="s">
        <v>74</v>
      </c>
      <c r="AY87" t="s">
        <v>74</v>
      </c>
      <c r="AZ87" t="s">
        <v>74</v>
      </c>
      <c r="BA87" t="s">
        <v>74</v>
      </c>
      <c r="BB87">
        <v>2758</v>
      </c>
      <c r="BC87">
        <v>2764</v>
      </c>
      <c r="BD87" t="s">
        <v>74</v>
      </c>
      <c r="BE87" t="s">
        <v>1973</v>
      </c>
      <c r="BF87" t="str">
        <f>HYPERLINK("http://dx.doi.org/10.1021/acsmaterialslett.5c00638","http://dx.doi.org/10.1021/acsmaterialslett.5c00638")</f>
        <v>http://dx.doi.org/10.1021/acsmaterialslett.5c00638</v>
      </c>
      <c r="BG87" t="s">
        <v>74</v>
      </c>
      <c r="BH87" t="s">
        <v>342</v>
      </c>
      <c r="BI87">
        <v>7</v>
      </c>
      <c r="BJ87" t="s">
        <v>368</v>
      </c>
      <c r="BK87" t="s">
        <v>103</v>
      </c>
      <c r="BL87" t="s">
        <v>369</v>
      </c>
      <c r="BM87" t="s">
        <v>1974</v>
      </c>
      <c r="BN87" t="s">
        <v>74</v>
      </c>
      <c r="BO87" t="s">
        <v>74</v>
      </c>
      <c r="BP87" t="s">
        <v>74</v>
      </c>
      <c r="BQ87" t="s">
        <v>74</v>
      </c>
      <c r="BR87" t="s">
        <v>106</v>
      </c>
      <c r="BS87" t="s">
        <v>1975</v>
      </c>
      <c r="BT87" t="str">
        <f>HYPERLINK("https%3A%2F%2Fwww.webofscience.com%2Fwos%2Fwoscc%2Ffull-record%2FWOS:001522316100001","View Full Record in Web of Science")</f>
        <v>View Full Record in Web of Science</v>
      </c>
    </row>
    <row r="88" spans="1:72" x14ac:dyDescent="0.15">
      <c r="A88" t="s">
        <v>72</v>
      </c>
      <c r="B88" t="s">
        <v>1976</v>
      </c>
      <c r="C88" t="s">
        <v>74</v>
      </c>
      <c r="D88" t="s">
        <v>74</v>
      </c>
      <c r="E88" t="s">
        <v>74</v>
      </c>
      <c r="F88" t="s">
        <v>1977</v>
      </c>
      <c r="G88" t="s">
        <v>74</v>
      </c>
      <c r="H88" t="s">
        <v>74</v>
      </c>
      <c r="I88" t="s">
        <v>1978</v>
      </c>
      <c r="J88" t="s">
        <v>1979</v>
      </c>
      <c r="K88" t="s">
        <v>74</v>
      </c>
      <c r="L88" t="s">
        <v>74</v>
      </c>
      <c r="M88" t="s">
        <v>78</v>
      </c>
      <c r="N88" t="s">
        <v>79</v>
      </c>
      <c r="O88" t="s">
        <v>74</v>
      </c>
      <c r="P88" t="s">
        <v>74</v>
      </c>
      <c r="Q88" t="s">
        <v>74</v>
      </c>
      <c r="R88" t="s">
        <v>74</v>
      </c>
      <c r="S88" t="s">
        <v>74</v>
      </c>
      <c r="T88" t="s">
        <v>74</v>
      </c>
      <c r="U88" t="s">
        <v>1980</v>
      </c>
      <c r="V88" t="s">
        <v>1981</v>
      </c>
      <c r="W88" t="s">
        <v>1982</v>
      </c>
      <c r="X88" t="s">
        <v>1983</v>
      </c>
      <c r="Y88" t="s">
        <v>1984</v>
      </c>
      <c r="Z88" t="s">
        <v>1985</v>
      </c>
      <c r="AA88" t="s">
        <v>1986</v>
      </c>
      <c r="AB88" t="s">
        <v>1987</v>
      </c>
      <c r="AC88" t="s">
        <v>1988</v>
      </c>
      <c r="AD88" t="s">
        <v>1989</v>
      </c>
      <c r="AE88" t="s">
        <v>1990</v>
      </c>
      <c r="AF88" t="s">
        <v>74</v>
      </c>
      <c r="AG88">
        <v>46</v>
      </c>
      <c r="AH88">
        <v>3</v>
      </c>
      <c r="AI88">
        <v>3</v>
      </c>
      <c r="AJ88">
        <v>1</v>
      </c>
      <c r="AK88">
        <v>3</v>
      </c>
      <c r="AL88" t="s">
        <v>645</v>
      </c>
      <c r="AM88" t="s">
        <v>646</v>
      </c>
      <c r="AN88" t="s">
        <v>647</v>
      </c>
      <c r="AO88" t="s">
        <v>74</v>
      </c>
      <c r="AP88" t="s">
        <v>1991</v>
      </c>
      <c r="AQ88" t="s">
        <v>74</v>
      </c>
      <c r="AR88" t="s">
        <v>1992</v>
      </c>
      <c r="AS88" t="s">
        <v>1993</v>
      </c>
      <c r="AT88" t="s">
        <v>1994</v>
      </c>
      <c r="AU88">
        <v>2024</v>
      </c>
      <c r="AV88">
        <v>6</v>
      </c>
      <c r="AW88">
        <v>4</v>
      </c>
      <c r="AX88" t="s">
        <v>74</v>
      </c>
      <c r="AY88" t="s">
        <v>74</v>
      </c>
      <c r="AZ88" t="s">
        <v>74</v>
      </c>
      <c r="BA88" t="s">
        <v>74</v>
      </c>
      <c r="BB88" t="s">
        <v>74</v>
      </c>
      <c r="BC88" t="s">
        <v>74</v>
      </c>
      <c r="BD88" t="s">
        <v>1995</v>
      </c>
      <c r="BE88" t="s">
        <v>1996</v>
      </c>
      <c r="BF88" t="str">
        <f>HYPERLINK("http://dx.doi.org/10.1103/PhysRevResearch.6.L042020","http://dx.doi.org/10.1103/PhysRevResearch.6.L042020")</f>
        <v>http://dx.doi.org/10.1103/PhysRevResearch.6.L042020</v>
      </c>
      <c r="BG88" t="s">
        <v>74</v>
      </c>
      <c r="BH88" t="s">
        <v>74</v>
      </c>
      <c r="BI88">
        <v>6</v>
      </c>
      <c r="BJ88" t="s">
        <v>1466</v>
      </c>
      <c r="BK88" t="s">
        <v>236</v>
      </c>
      <c r="BL88" t="s">
        <v>654</v>
      </c>
      <c r="BM88" t="s">
        <v>1997</v>
      </c>
      <c r="BN88" t="s">
        <v>74</v>
      </c>
      <c r="BO88" t="s">
        <v>191</v>
      </c>
      <c r="BP88" t="s">
        <v>74</v>
      </c>
      <c r="BQ88" t="s">
        <v>74</v>
      </c>
      <c r="BR88" t="s">
        <v>106</v>
      </c>
      <c r="BS88" t="s">
        <v>1998</v>
      </c>
      <c r="BT88" t="str">
        <f>HYPERLINK("https%3A%2F%2Fwww.webofscience.com%2Fwos%2Fwoscc%2Ffull-record%2FWOS:001345746800004","View Full Record in Web of Science")</f>
        <v>View Full Record in Web of Science</v>
      </c>
    </row>
    <row r="89" spans="1:72" x14ac:dyDescent="0.15">
      <c r="A89" t="s">
        <v>72</v>
      </c>
      <c r="B89" t="s">
        <v>1999</v>
      </c>
      <c r="C89" t="s">
        <v>74</v>
      </c>
      <c r="D89" t="s">
        <v>74</v>
      </c>
      <c r="E89" t="s">
        <v>74</v>
      </c>
      <c r="F89" t="s">
        <v>2000</v>
      </c>
      <c r="G89" t="s">
        <v>74</v>
      </c>
      <c r="H89" t="s">
        <v>74</v>
      </c>
      <c r="I89" t="s">
        <v>2001</v>
      </c>
      <c r="J89" t="s">
        <v>479</v>
      </c>
      <c r="K89" t="s">
        <v>74</v>
      </c>
      <c r="L89" t="s">
        <v>74</v>
      </c>
      <c r="M89" t="s">
        <v>78</v>
      </c>
      <c r="N89" t="s">
        <v>79</v>
      </c>
      <c r="O89" t="s">
        <v>74</v>
      </c>
      <c r="P89" t="s">
        <v>74</v>
      </c>
      <c r="Q89" t="s">
        <v>74</v>
      </c>
      <c r="R89" t="s">
        <v>74</v>
      </c>
      <c r="S89" t="s">
        <v>74</v>
      </c>
      <c r="T89" t="s">
        <v>74</v>
      </c>
      <c r="U89" t="s">
        <v>2002</v>
      </c>
      <c r="V89" t="s">
        <v>2003</v>
      </c>
      <c r="W89" t="s">
        <v>2004</v>
      </c>
      <c r="X89" t="s">
        <v>145</v>
      </c>
      <c r="Y89" t="s">
        <v>1565</v>
      </c>
      <c r="Z89" t="s">
        <v>1566</v>
      </c>
      <c r="AA89" t="s">
        <v>2005</v>
      </c>
      <c r="AB89" t="s">
        <v>2006</v>
      </c>
      <c r="AC89" t="s">
        <v>2007</v>
      </c>
      <c r="AD89" t="s">
        <v>2008</v>
      </c>
      <c r="AE89" t="s">
        <v>2009</v>
      </c>
      <c r="AF89" t="s">
        <v>74</v>
      </c>
      <c r="AG89">
        <v>40</v>
      </c>
      <c r="AH89">
        <v>3</v>
      </c>
      <c r="AI89">
        <v>3</v>
      </c>
      <c r="AJ89">
        <v>1</v>
      </c>
      <c r="AK89">
        <v>4</v>
      </c>
      <c r="AL89" t="s">
        <v>491</v>
      </c>
      <c r="AM89" t="s">
        <v>124</v>
      </c>
      <c r="AN89" t="s">
        <v>492</v>
      </c>
      <c r="AO89" t="s">
        <v>493</v>
      </c>
      <c r="AP89" t="s">
        <v>494</v>
      </c>
      <c r="AQ89" t="s">
        <v>74</v>
      </c>
      <c r="AR89" t="s">
        <v>479</v>
      </c>
      <c r="AS89" t="s">
        <v>495</v>
      </c>
      <c r="AT89" t="s">
        <v>2010</v>
      </c>
      <c r="AU89">
        <v>2025</v>
      </c>
      <c r="AV89">
        <v>21</v>
      </c>
      <c r="AW89">
        <v>30</v>
      </c>
      <c r="AX89" t="s">
        <v>74</v>
      </c>
      <c r="AY89" t="s">
        <v>74</v>
      </c>
      <c r="AZ89" t="s">
        <v>74</v>
      </c>
      <c r="BA89" t="s">
        <v>74</v>
      </c>
      <c r="BB89">
        <v>6107</v>
      </c>
      <c r="BC89">
        <v>6113</v>
      </c>
      <c r="BD89" t="s">
        <v>74</v>
      </c>
      <c r="BE89" t="s">
        <v>2011</v>
      </c>
      <c r="BF89" t="str">
        <f>HYPERLINK("http://dx.doi.org/10.1039/d5sm00367a","http://dx.doi.org/10.1039/d5sm00367a")</f>
        <v>http://dx.doi.org/10.1039/d5sm00367a</v>
      </c>
      <c r="BG89" t="s">
        <v>74</v>
      </c>
      <c r="BH89" t="s">
        <v>342</v>
      </c>
      <c r="BI89">
        <v>7</v>
      </c>
      <c r="BJ89" t="s">
        <v>499</v>
      </c>
      <c r="BK89" t="s">
        <v>103</v>
      </c>
      <c r="BL89" t="s">
        <v>500</v>
      </c>
      <c r="BM89" t="s">
        <v>2012</v>
      </c>
      <c r="BN89">
        <v>40665767</v>
      </c>
      <c r="BO89" t="s">
        <v>344</v>
      </c>
      <c r="BP89" t="s">
        <v>74</v>
      </c>
      <c r="BQ89" t="s">
        <v>74</v>
      </c>
      <c r="BR89" t="s">
        <v>106</v>
      </c>
      <c r="BS89" t="s">
        <v>2013</v>
      </c>
      <c r="BT89" t="str">
        <f>HYPERLINK("https%3A%2F%2Fwww.webofscience.com%2Fwos%2Fwoscc%2Ffull-record%2FWOS:001529369700001","View Full Record in Web of Science")</f>
        <v>View Full Record in Web of Science</v>
      </c>
    </row>
    <row r="90" spans="1:72" x14ac:dyDescent="0.15">
      <c r="A90" t="s">
        <v>72</v>
      </c>
      <c r="B90" t="s">
        <v>2014</v>
      </c>
      <c r="C90" t="s">
        <v>74</v>
      </c>
      <c r="D90" t="s">
        <v>74</v>
      </c>
      <c r="E90" t="s">
        <v>74</v>
      </c>
      <c r="F90" t="s">
        <v>2015</v>
      </c>
      <c r="G90" t="s">
        <v>74</v>
      </c>
      <c r="H90" t="s">
        <v>74</v>
      </c>
      <c r="I90" t="s">
        <v>2016</v>
      </c>
      <c r="J90" t="s">
        <v>2017</v>
      </c>
      <c r="K90" t="s">
        <v>74</v>
      </c>
      <c r="L90" t="s">
        <v>74</v>
      </c>
      <c r="M90" t="s">
        <v>78</v>
      </c>
      <c r="N90" t="s">
        <v>79</v>
      </c>
      <c r="O90" t="s">
        <v>74</v>
      </c>
      <c r="P90" t="s">
        <v>74</v>
      </c>
      <c r="Q90" t="s">
        <v>74</v>
      </c>
      <c r="R90" t="s">
        <v>74</v>
      </c>
      <c r="S90" t="s">
        <v>74</v>
      </c>
      <c r="T90" t="s">
        <v>2018</v>
      </c>
      <c r="U90" t="s">
        <v>2019</v>
      </c>
      <c r="V90" t="s">
        <v>2020</v>
      </c>
      <c r="W90" t="s">
        <v>2021</v>
      </c>
      <c r="X90" t="s">
        <v>2022</v>
      </c>
      <c r="Y90" t="s">
        <v>2023</v>
      </c>
      <c r="Z90" t="s">
        <v>1107</v>
      </c>
      <c r="AA90" t="s">
        <v>2024</v>
      </c>
      <c r="AB90" t="s">
        <v>2025</v>
      </c>
      <c r="AC90" t="s">
        <v>2026</v>
      </c>
      <c r="AD90" t="s">
        <v>2027</v>
      </c>
      <c r="AE90" t="s">
        <v>2028</v>
      </c>
      <c r="AF90" t="s">
        <v>74</v>
      </c>
      <c r="AG90">
        <v>88</v>
      </c>
      <c r="AH90">
        <v>7</v>
      </c>
      <c r="AI90">
        <v>7</v>
      </c>
      <c r="AJ90">
        <v>3</v>
      </c>
      <c r="AK90">
        <v>29</v>
      </c>
      <c r="AL90" t="s">
        <v>152</v>
      </c>
      <c r="AM90" t="s">
        <v>153</v>
      </c>
      <c r="AN90" t="s">
        <v>154</v>
      </c>
      <c r="AO90" t="s">
        <v>2029</v>
      </c>
      <c r="AP90" t="s">
        <v>2030</v>
      </c>
      <c r="AQ90" t="s">
        <v>74</v>
      </c>
      <c r="AR90" t="s">
        <v>2031</v>
      </c>
      <c r="AS90" t="s">
        <v>2032</v>
      </c>
      <c r="AT90" t="s">
        <v>2033</v>
      </c>
      <c r="AU90">
        <v>2024</v>
      </c>
      <c r="AV90">
        <v>24</v>
      </c>
      <c r="AW90">
        <v>44</v>
      </c>
      <c r="AX90" t="s">
        <v>74</v>
      </c>
      <c r="AY90" t="s">
        <v>74</v>
      </c>
      <c r="AZ90" t="s">
        <v>74</v>
      </c>
      <c r="BA90" t="s">
        <v>74</v>
      </c>
      <c r="BB90">
        <v>13935</v>
      </c>
      <c r="BC90">
        <v>13944</v>
      </c>
      <c r="BD90" t="s">
        <v>74</v>
      </c>
      <c r="BE90" t="s">
        <v>2034</v>
      </c>
      <c r="BF90" t="str">
        <f>HYPERLINK("http://dx.doi.org/10.1021/acs.nanolett.4c02963","http://dx.doi.org/10.1021/acs.nanolett.4c02963")</f>
        <v>http://dx.doi.org/10.1021/acs.nanolett.4c02963</v>
      </c>
      <c r="BG90" t="s">
        <v>74</v>
      </c>
      <c r="BH90" t="s">
        <v>498</v>
      </c>
      <c r="BI90">
        <v>10</v>
      </c>
      <c r="BJ90" t="s">
        <v>605</v>
      </c>
      <c r="BK90" t="s">
        <v>103</v>
      </c>
      <c r="BL90" t="s">
        <v>606</v>
      </c>
      <c r="BM90" t="s">
        <v>2035</v>
      </c>
      <c r="BN90">
        <v>39466799</v>
      </c>
      <c r="BO90" t="s">
        <v>74</v>
      </c>
      <c r="BP90" t="s">
        <v>74</v>
      </c>
      <c r="BQ90" t="s">
        <v>74</v>
      </c>
      <c r="BR90" t="s">
        <v>106</v>
      </c>
      <c r="BS90" t="s">
        <v>2036</v>
      </c>
      <c r="BT90" t="str">
        <f>HYPERLINK("https%3A%2F%2Fwww.webofscience.com%2Fwos%2Fwoscc%2Ffull-record%2FWOS:001344593700001","View Full Record in Web of Science")</f>
        <v>View Full Record in Web of Science</v>
      </c>
    </row>
    <row r="91" spans="1:72" x14ac:dyDescent="0.15">
      <c r="A91" t="s">
        <v>72</v>
      </c>
      <c r="B91" t="s">
        <v>2037</v>
      </c>
      <c r="C91" t="s">
        <v>74</v>
      </c>
      <c r="D91" t="s">
        <v>74</v>
      </c>
      <c r="E91" t="s">
        <v>74</v>
      </c>
      <c r="F91" t="s">
        <v>2038</v>
      </c>
      <c r="G91" t="s">
        <v>74</v>
      </c>
      <c r="H91" t="s">
        <v>74</v>
      </c>
      <c r="I91" t="s">
        <v>2039</v>
      </c>
      <c r="J91" t="s">
        <v>280</v>
      </c>
      <c r="K91" t="s">
        <v>74</v>
      </c>
      <c r="L91" t="s">
        <v>74</v>
      </c>
      <c r="M91" t="s">
        <v>78</v>
      </c>
      <c r="N91" t="s">
        <v>79</v>
      </c>
      <c r="O91" t="s">
        <v>74</v>
      </c>
      <c r="P91" t="s">
        <v>74</v>
      </c>
      <c r="Q91" t="s">
        <v>74</v>
      </c>
      <c r="R91" t="s">
        <v>74</v>
      </c>
      <c r="S91" t="s">
        <v>74</v>
      </c>
      <c r="T91" t="s">
        <v>74</v>
      </c>
      <c r="U91" t="s">
        <v>2040</v>
      </c>
      <c r="V91" t="s">
        <v>2041</v>
      </c>
      <c r="W91" t="s">
        <v>2042</v>
      </c>
      <c r="X91" t="s">
        <v>1715</v>
      </c>
      <c r="Y91" t="s">
        <v>2043</v>
      </c>
      <c r="Z91" t="s">
        <v>2044</v>
      </c>
      <c r="AA91" t="s">
        <v>2045</v>
      </c>
      <c r="AB91" t="s">
        <v>2046</v>
      </c>
      <c r="AC91" t="s">
        <v>2047</v>
      </c>
      <c r="AD91" t="s">
        <v>2048</v>
      </c>
      <c r="AE91" t="s">
        <v>2049</v>
      </c>
      <c r="AF91" t="s">
        <v>74</v>
      </c>
      <c r="AG91">
        <v>96</v>
      </c>
      <c r="AH91">
        <v>24</v>
      </c>
      <c r="AI91">
        <v>25</v>
      </c>
      <c r="AJ91">
        <v>7</v>
      </c>
      <c r="AK91">
        <v>32</v>
      </c>
      <c r="AL91" t="s">
        <v>292</v>
      </c>
      <c r="AM91" t="s">
        <v>293</v>
      </c>
      <c r="AN91" t="s">
        <v>294</v>
      </c>
      <c r="AO91" t="s">
        <v>74</v>
      </c>
      <c r="AP91" t="s">
        <v>295</v>
      </c>
      <c r="AQ91" t="s">
        <v>74</v>
      </c>
      <c r="AR91" t="s">
        <v>296</v>
      </c>
      <c r="AS91" t="s">
        <v>297</v>
      </c>
      <c r="AT91" t="s">
        <v>2050</v>
      </c>
      <c r="AU91">
        <v>2024</v>
      </c>
      <c r="AV91">
        <v>15</v>
      </c>
      <c r="AW91">
        <v>1</v>
      </c>
      <c r="AX91" t="s">
        <v>74</v>
      </c>
      <c r="AY91" t="s">
        <v>74</v>
      </c>
      <c r="AZ91" t="s">
        <v>74</v>
      </c>
      <c r="BA91" t="s">
        <v>74</v>
      </c>
      <c r="BB91" t="s">
        <v>74</v>
      </c>
      <c r="BC91" t="s">
        <v>74</v>
      </c>
      <c r="BD91">
        <v>2660</v>
      </c>
      <c r="BE91" t="s">
        <v>2051</v>
      </c>
      <c r="BF91" t="str">
        <f>HYPERLINK("http://dx.doi.org/10.1038/s41467-024-47066-1","http://dx.doi.org/10.1038/s41467-024-47066-1")</f>
        <v>http://dx.doi.org/10.1038/s41467-024-47066-1</v>
      </c>
      <c r="BG91" t="s">
        <v>74</v>
      </c>
      <c r="BH91" t="s">
        <v>74</v>
      </c>
      <c r="BI91">
        <v>12</v>
      </c>
      <c r="BJ91" t="s">
        <v>300</v>
      </c>
      <c r="BK91" t="s">
        <v>103</v>
      </c>
      <c r="BL91" t="s">
        <v>301</v>
      </c>
      <c r="BM91" t="s">
        <v>2052</v>
      </c>
      <c r="BN91">
        <v>38531877</v>
      </c>
      <c r="BO91" t="s">
        <v>191</v>
      </c>
      <c r="BP91" t="s">
        <v>74</v>
      </c>
      <c r="BQ91" t="s">
        <v>74</v>
      </c>
      <c r="BR91" t="s">
        <v>106</v>
      </c>
      <c r="BS91" t="s">
        <v>2053</v>
      </c>
      <c r="BT91" t="str">
        <f>HYPERLINK("https%3A%2F%2Fwww.webofscience.com%2Fwos%2Fwoscc%2Ffull-record%2FWOS:001191874200015","View Full Record in Web of Science")</f>
        <v>View Full Record in Web of Science</v>
      </c>
    </row>
    <row r="92" spans="1:72" x14ac:dyDescent="0.15">
      <c r="A92" t="s">
        <v>72</v>
      </c>
      <c r="B92" t="s">
        <v>2054</v>
      </c>
      <c r="C92" t="s">
        <v>74</v>
      </c>
      <c r="D92" t="s">
        <v>74</v>
      </c>
      <c r="E92" t="s">
        <v>74</v>
      </c>
      <c r="F92" t="s">
        <v>2055</v>
      </c>
      <c r="G92" t="s">
        <v>74</v>
      </c>
      <c r="H92" t="s">
        <v>74</v>
      </c>
      <c r="I92" t="s">
        <v>2056</v>
      </c>
      <c r="J92" t="s">
        <v>2057</v>
      </c>
      <c r="K92" t="s">
        <v>74</v>
      </c>
      <c r="L92" t="s">
        <v>74</v>
      </c>
      <c r="M92" t="s">
        <v>78</v>
      </c>
      <c r="N92" t="s">
        <v>79</v>
      </c>
      <c r="O92" t="s">
        <v>74</v>
      </c>
      <c r="P92" t="s">
        <v>74</v>
      </c>
      <c r="Q92" t="s">
        <v>74</v>
      </c>
      <c r="R92" t="s">
        <v>74</v>
      </c>
      <c r="S92" t="s">
        <v>74</v>
      </c>
      <c r="T92" t="s">
        <v>74</v>
      </c>
      <c r="U92" t="s">
        <v>2058</v>
      </c>
      <c r="V92" t="s">
        <v>2059</v>
      </c>
      <c r="W92" t="s">
        <v>2060</v>
      </c>
      <c r="X92" t="s">
        <v>2061</v>
      </c>
      <c r="Y92" t="s">
        <v>199</v>
      </c>
      <c r="Z92" t="s">
        <v>200</v>
      </c>
      <c r="AA92" t="s">
        <v>2062</v>
      </c>
      <c r="AB92" t="s">
        <v>74</v>
      </c>
      <c r="AC92" t="s">
        <v>2063</v>
      </c>
      <c r="AD92" t="s">
        <v>2064</v>
      </c>
      <c r="AE92" t="s">
        <v>2065</v>
      </c>
      <c r="AF92" t="s">
        <v>74</v>
      </c>
      <c r="AG92">
        <v>64</v>
      </c>
      <c r="AH92">
        <v>1</v>
      </c>
      <c r="AI92">
        <v>2</v>
      </c>
      <c r="AJ92">
        <v>0</v>
      </c>
      <c r="AK92">
        <v>0</v>
      </c>
      <c r="AL92" t="s">
        <v>1633</v>
      </c>
      <c r="AM92" t="s">
        <v>626</v>
      </c>
      <c r="AN92" t="s">
        <v>1634</v>
      </c>
      <c r="AO92" t="s">
        <v>2066</v>
      </c>
      <c r="AP92" t="s">
        <v>2067</v>
      </c>
      <c r="AQ92" t="s">
        <v>74</v>
      </c>
      <c r="AR92" t="s">
        <v>2068</v>
      </c>
      <c r="AS92" t="s">
        <v>2069</v>
      </c>
      <c r="AT92" t="s">
        <v>998</v>
      </c>
      <c r="AU92">
        <v>2026</v>
      </c>
      <c r="AV92">
        <v>97</v>
      </c>
      <c r="AW92">
        <v>4</v>
      </c>
      <c r="AX92" t="s">
        <v>74</v>
      </c>
      <c r="AY92" t="s">
        <v>74</v>
      </c>
      <c r="AZ92" t="s">
        <v>74</v>
      </c>
      <c r="BA92" t="s">
        <v>74</v>
      </c>
      <c r="BB92" t="s">
        <v>74</v>
      </c>
      <c r="BC92" t="s">
        <v>74</v>
      </c>
      <c r="BD92">
        <v>45205</v>
      </c>
      <c r="BE92" t="s">
        <v>2070</v>
      </c>
      <c r="BF92" t="str">
        <f>HYPERLINK("http://dx.doi.org/10.1063/5.0309613","http://dx.doi.org/10.1063/5.0309613")</f>
        <v>http://dx.doi.org/10.1063/5.0309613</v>
      </c>
      <c r="BG92" t="s">
        <v>74</v>
      </c>
      <c r="BH92" t="s">
        <v>74</v>
      </c>
      <c r="BI92">
        <v>11</v>
      </c>
      <c r="BJ92" t="s">
        <v>2071</v>
      </c>
      <c r="BK92" t="s">
        <v>103</v>
      </c>
      <c r="BL92" t="s">
        <v>2072</v>
      </c>
      <c r="BM92" t="s">
        <v>2073</v>
      </c>
      <c r="BN92">
        <v>41979420</v>
      </c>
      <c r="BO92" t="s">
        <v>74</v>
      </c>
      <c r="BP92" t="s">
        <v>74</v>
      </c>
      <c r="BQ92" t="s">
        <v>74</v>
      </c>
      <c r="BR92" t="s">
        <v>106</v>
      </c>
      <c r="BS92" t="s">
        <v>2074</v>
      </c>
      <c r="BT92" t="str">
        <f>HYPERLINK("https%3A%2F%2Fwww.webofscience.com%2Fwos%2Fwoscc%2Ffull-record%2FWOS:001739997300001","View Full Record in Web of Science")</f>
        <v>View Full Record in Web of Science</v>
      </c>
    </row>
    <row r="93" spans="1:72" x14ac:dyDescent="0.15">
      <c r="A93" t="s">
        <v>72</v>
      </c>
      <c r="B93" t="s">
        <v>2075</v>
      </c>
      <c r="C93" t="s">
        <v>74</v>
      </c>
      <c r="D93" t="s">
        <v>74</v>
      </c>
      <c r="E93" t="s">
        <v>74</v>
      </c>
      <c r="F93" t="s">
        <v>2076</v>
      </c>
      <c r="G93" t="s">
        <v>74</v>
      </c>
      <c r="H93" t="s">
        <v>74</v>
      </c>
      <c r="I93" t="s">
        <v>2077</v>
      </c>
      <c r="J93" t="s">
        <v>1100</v>
      </c>
      <c r="K93" t="s">
        <v>74</v>
      </c>
      <c r="L93" t="s">
        <v>74</v>
      </c>
      <c r="M93" t="s">
        <v>78</v>
      </c>
      <c r="N93" t="s">
        <v>79</v>
      </c>
      <c r="O93" t="s">
        <v>74</v>
      </c>
      <c r="P93" t="s">
        <v>74</v>
      </c>
      <c r="Q93" t="s">
        <v>74</v>
      </c>
      <c r="R93" t="s">
        <v>74</v>
      </c>
      <c r="S93" t="s">
        <v>74</v>
      </c>
      <c r="T93" t="s">
        <v>74</v>
      </c>
      <c r="U93" t="s">
        <v>74</v>
      </c>
      <c r="V93" t="s">
        <v>2078</v>
      </c>
      <c r="W93" t="s">
        <v>2079</v>
      </c>
      <c r="X93" t="s">
        <v>1326</v>
      </c>
      <c r="Y93" t="s">
        <v>2080</v>
      </c>
      <c r="Z93" t="s">
        <v>1107</v>
      </c>
      <c r="AA93" t="s">
        <v>2081</v>
      </c>
      <c r="AB93" t="s">
        <v>74</v>
      </c>
      <c r="AC93" t="s">
        <v>2082</v>
      </c>
      <c r="AD93" t="s">
        <v>2083</v>
      </c>
      <c r="AE93" t="s">
        <v>2084</v>
      </c>
      <c r="AF93" t="s">
        <v>74</v>
      </c>
      <c r="AG93">
        <v>27</v>
      </c>
      <c r="AH93">
        <v>2</v>
      </c>
      <c r="AI93">
        <v>2</v>
      </c>
      <c r="AJ93">
        <v>11</v>
      </c>
      <c r="AK93">
        <v>11</v>
      </c>
      <c r="AL93" t="s">
        <v>898</v>
      </c>
      <c r="AM93" t="s">
        <v>124</v>
      </c>
      <c r="AN93" t="s">
        <v>899</v>
      </c>
      <c r="AO93" t="s">
        <v>74</v>
      </c>
      <c r="AP93" t="s">
        <v>1112</v>
      </c>
      <c r="AQ93" t="s">
        <v>74</v>
      </c>
      <c r="AR93" t="s">
        <v>1100</v>
      </c>
      <c r="AS93" t="s">
        <v>1113</v>
      </c>
      <c r="AT93" t="s">
        <v>365</v>
      </c>
      <c r="AU93">
        <v>2026</v>
      </c>
      <c r="AV93">
        <v>4</v>
      </c>
      <c r="AW93">
        <v>2</v>
      </c>
      <c r="AX93" t="s">
        <v>74</v>
      </c>
      <c r="AY93" t="s">
        <v>74</v>
      </c>
      <c r="AZ93" t="s">
        <v>74</v>
      </c>
      <c r="BA93" t="s">
        <v>74</v>
      </c>
      <c r="BB93" t="s">
        <v>74</v>
      </c>
      <c r="BC93" t="s">
        <v>74</v>
      </c>
      <c r="BD93">
        <v>100974</v>
      </c>
      <c r="BE93" t="s">
        <v>2085</v>
      </c>
      <c r="BF93" t="str">
        <f>HYPERLINK("http://dx.doi.org/10.1016/j.device.2025.100974","http://dx.doi.org/10.1016/j.device.2025.100974")</f>
        <v>http://dx.doi.org/10.1016/j.device.2025.100974</v>
      </c>
      <c r="BG93" t="s">
        <v>74</v>
      </c>
      <c r="BH93" t="s">
        <v>74</v>
      </c>
      <c r="BI93">
        <v>10</v>
      </c>
      <c r="BJ93" t="s">
        <v>368</v>
      </c>
      <c r="BK93" t="s">
        <v>236</v>
      </c>
      <c r="BL93" t="s">
        <v>369</v>
      </c>
      <c r="BM93" t="s">
        <v>2086</v>
      </c>
      <c r="BN93" t="s">
        <v>74</v>
      </c>
      <c r="BO93" t="s">
        <v>74</v>
      </c>
      <c r="BP93" t="s">
        <v>74</v>
      </c>
      <c r="BQ93" t="s">
        <v>74</v>
      </c>
      <c r="BR93" t="s">
        <v>106</v>
      </c>
      <c r="BS93" t="s">
        <v>2087</v>
      </c>
      <c r="BT93" t="str">
        <f>HYPERLINK("https%3A%2F%2Fwww.webofscience.com%2Fwos%2Fwoscc%2Ffull-record%2FWOS:001698987600001","View Full Record in Web of Science")</f>
        <v>View Full Record in Web of Science</v>
      </c>
    </row>
    <row r="94" spans="1:72" x14ac:dyDescent="0.15">
      <c r="A94" t="s">
        <v>72</v>
      </c>
      <c r="B94" t="s">
        <v>2088</v>
      </c>
      <c r="C94" t="s">
        <v>74</v>
      </c>
      <c r="D94" t="s">
        <v>74</v>
      </c>
      <c r="E94" t="s">
        <v>74</v>
      </c>
      <c r="F94" t="s">
        <v>2089</v>
      </c>
      <c r="G94" t="s">
        <v>74</v>
      </c>
      <c r="H94" t="s">
        <v>74</v>
      </c>
      <c r="I94" t="s">
        <v>2090</v>
      </c>
      <c r="J94" t="s">
        <v>587</v>
      </c>
      <c r="K94" t="s">
        <v>74</v>
      </c>
      <c r="L94" t="s">
        <v>74</v>
      </c>
      <c r="M94" t="s">
        <v>78</v>
      </c>
      <c r="N94" t="s">
        <v>588</v>
      </c>
      <c r="O94" t="s">
        <v>74</v>
      </c>
      <c r="P94" t="s">
        <v>74</v>
      </c>
      <c r="Q94" t="s">
        <v>74</v>
      </c>
      <c r="R94" t="s">
        <v>74</v>
      </c>
      <c r="S94" t="s">
        <v>74</v>
      </c>
      <c r="T94" t="s">
        <v>2091</v>
      </c>
      <c r="U94" t="s">
        <v>2092</v>
      </c>
      <c r="V94" t="s">
        <v>2093</v>
      </c>
      <c r="W94" t="s">
        <v>2094</v>
      </c>
      <c r="X94" t="s">
        <v>2095</v>
      </c>
      <c r="Y94" t="s">
        <v>2096</v>
      </c>
      <c r="Z94" t="s">
        <v>2097</v>
      </c>
      <c r="AA94" t="s">
        <v>74</v>
      </c>
      <c r="AB94" t="s">
        <v>74</v>
      </c>
      <c r="AC94" t="s">
        <v>2098</v>
      </c>
      <c r="AD94" t="s">
        <v>2099</v>
      </c>
      <c r="AE94" t="s">
        <v>2100</v>
      </c>
      <c r="AF94" t="s">
        <v>74</v>
      </c>
      <c r="AG94">
        <v>61</v>
      </c>
      <c r="AH94">
        <v>0</v>
      </c>
      <c r="AI94">
        <v>0</v>
      </c>
      <c r="AJ94">
        <v>0</v>
      </c>
      <c r="AK94">
        <v>0</v>
      </c>
      <c r="AL94" t="s">
        <v>179</v>
      </c>
      <c r="AM94" t="s">
        <v>180</v>
      </c>
      <c r="AN94" t="s">
        <v>181</v>
      </c>
      <c r="AO94" t="s">
        <v>598</v>
      </c>
      <c r="AP94" t="s">
        <v>599</v>
      </c>
      <c r="AQ94" t="s">
        <v>74</v>
      </c>
      <c r="AR94" t="s">
        <v>600</v>
      </c>
      <c r="AS94" t="s">
        <v>601</v>
      </c>
      <c r="AT94" t="s">
        <v>2101</v>
      </c>
      <c r="AU94">
        <v>2026</v>
      </c>
      <c r="AV94" t="s">
        <v>74</v>
      </c>
      <c r="AW94" t="s">
        <v>74</v>
      </c>
      <c r="AX94" t="s">
        <v>74</v>
      </c>
      <c r="AY94" t="s">
        <v>74</v>
      </c>
      <c r="AZ94" t="s">
        <v>74</v>
      </c>
      <c r="BA94" t="s">
        <v>74</v>
      </c>
      <c r="BB94" t="s">
        <v>74</v>
      </c>
      <c r="BC94" t="s">
        <v>74</v>
      </c>
      <c r="BD94" t="s">
        <v>74</v>
      </c>
      <c r="BE94" t="s">
        <v>2102</v>
      </c>
      <c r="BF94" t="str">
        <f>HYPERLINK("http://dx.doi.org/10.1002/adma.73269","http://dx.doi.org/10.1002/adma.73269")</f>
        <v>http://dx.doi.org/10.1002/adma.73269</v>
      </c>
      <c r="BG94" t="s">
        <v>74</v>
      </c>
      <c r="BH94" t="s">
        <v>2103</v>
      </c>
      <c r="BI94">
        <v>13</v>
      </c>
      <c r="BJ94" t="s">
        <v>605</v>
      </c>
      <c r="BK94" t="s">
        <v>103</v>
      </c>
      <c r="BL94" t="s">
        <v>606</v>
      </c>
      <c r="BM94" t="s">
        <v>2104</v>
      </c>
      <c r="BN94">
        <v>42144975</v>
      </c>
      <c r="BO94" t="s">
        <v>344</v>
      </c>
      <c r="BP94" t="s">
        <v>74</v>
      </c>
      <c r="BQ94" t="s">
        <v>74</v>
      </c>
      <c r="BR94" t="s">
        <v>106</v>
      </c>
      <c r="BS94" t="s">
        <v>2105</v>
      </c>
      <c r="BT94" t="str">
        <f>HYPERLINK("https%3A%2F%2Fwww.webofscience.com%2Fwos%2Fwoscc%2Ffull-record%2FWOS:001766908100001","View Full Record in Web of Science")</f>
        <v>View Full Record in Web of Science</v>
      </c>
    </row>
    <row r="95" spans="1:72" x14ac:dyDescent="0.15">
      <c r="A95" t="s">
        <v>72</v>
      </c>
      <c r="B95" t="s">
        <v>2106</v>
      </c>
      <c r="C95" t="s">
        <v>74</v>
      </c>
      <c r="D95" t="s">
        <v>74</v>
      </c>
      <c r="E95" t="s">
        <v>74</v>
      </c>
      <c r="F95" t="s">
        <v>2107</v>
      </c>
      <c r="G95" t="s">
        <v>74</v>
      </c>
      <c r="H95" t="s">
        <v>74</v>
      </c>
      <c r="I95" t="s">
        <v>2108</v>
      </c>
      <c r="J95" t="s">
        <v>678</v>
      </c>
      <c r="K95" t="s">
        <v>74</v>
      </c>
      <c r="L95" t="s">
        <v>74</v>
      </c>
      <c r="M95" t="s">
        <v>78</v>
      </c>
      <c r="N95" t="s">
        <v>79</v>
      </c>
      <c r="O95" t="s">
        <v>74</v>
      </c>
      <c r="P95" t="s">
        <v>74</v>
      </c>
      <c r="Q95" t="s">
        <v>74</v>
      </c>
      <c r="R95" t="s">
        <v>74</v>
      </c>
      <c r="S95" t="s">
        <v>74</v>
      </c>
      <c r="T95" t="s">
        <v>2109</v>
      </c>
      <c r="U95" t="s">
        <v>2110</v>
      </c>
      <c r="V95" t="s">
        <v>2111</v>
      </c>
      <c r="W95" t="s">
        <v>2112</v>
      </c>
      <c r="X95" t="s">
        <v>354</v>
      </c>
      <c r="Y95" t="s">
        <v>813</v>
      </c>
      <c r="Z95" t="s">
        <v>173</v>
      </c>
      <c r="AA95" t="s">
        <v>2113</v>
      </c>
      <c r="AB95" t="s">
        <v>2114</v>
      </c>
      <c r="AC95" t="s">
        <v>2115</v>
      </c>
      <c r="AD95" t="s">
        <v>2116</v>
      </c>
      <c r="AE95" t="s">
        <v>2117</v>
      </c>
      <c r="AF95" t="s">
        <v>74</v>
      </c>
      <c r="AG95">
        <v>39</v>
      </c>
      <c r="AH95">
        <v>39</v>
      </c>
      <c r="AI95">
        <v>43</v>
      </c>
      <c r="AJ95">
        <v>16</v>
      </c>
      <c r="AK95">
        <v>166</v>
      </c>
      <c r="AL95" t="s">
        <v>179</v>
      </c>
      <c r="AM95" t="s">
        <v>180</v>
      </c>
      <c r="AN95" t="s">
        <v>181</v>
      </c>
      <c r="AO95" t="s">
        <v>689</v>
      </c>
      <c r="AP95" t="s">
        <v>690</v>
      </c>
      <c r="AQ95" t="s">
        <v>74</v>
      </c>
      <c r="AR95" t="s">
        <v>691</v>
      </c>
      <c r="AS95" t="s">
        <v>692</v>
      </c>
      <c r="AT95" t="s">
        <v>835</v>
      </c>
      <c r="AU95">
        <v>2024</v>
      </c>
      <c r="AV95">
        <v>34</v>
      </c>
      <c r="AW95">
        <v>34</v>
      </c>
      <c r="AX95" t="s">
        <v>74</v>
      </c>
      <c r="AY95" t="s">
        <v>74</v>
      </c>
      <c r="AZ95" t="s">
        <v>74</v>
      </c>
      <c r="BA95" t="s">
        <v>74</v>
      </c>
      <c r="BB95" t="s">
        <v>74</v>
      </c>
      <c r="BC95" t="s">
        <v>74</v>
      </c>
      <c r="BD95" t="s">
        <v>74</v>
      </c>
      <c r="BE95" t="s">
        <v>2118</v>
      </c>
      <c r="BF95" t="str">
        <f>HYPERLINK("http://dx.doi.org/10.1002/adfm.202400742","http://dx.doi.org/10.1002/adfm.202400742")</f>
        <v>http://dx.doi.org/10.1002/adfm.202400742</v>
      </c>
      <c r="BG95" t="s">
        <v>74</v>
      </c>
      <c r="BH95" t="s">
        <v>712</v>
      </c>
      <c r="BI95">
        <v>11</v>
      </c>
      <c r="BJ95" t="s">
        <v>605</v>
      </c>
      <c r="BK95" t="s">
        <v>103</v>
      </c>
      <c r="BL95" t="s">
        <v>606</v>
      </c>
      <c r="BM95" t="s">
        <v>2119</v>
      </c>
      <c r="BN95" t="s">
        <v>74</v>
      </c>
      <c r="BO95" t="s">
        <v>344</v>
      </c>
      <c r="BP95" t="s">
        <v>74</v>
      </c>
      <c r="BQ95" t="s">
        <v>74</v>
      </c>
      <c r="BR95" t="s">
        <v>106</v>
      </c>
      <c r="BS95" t="s">
        <v>2120</v>
      </c>
      <c r="BT95" t="str">
        <f>HYPERLINK("https%3A%2F%2Fwww.webofscience.com%2Fwos%2Fwoscc%2Ffull-record%2FWOS:001199746100001","View Full Record in Web of Science")</f>
        <v>View Full Record in Web of Science</v>
      </c>
    </row>
    <row r="96" spans="1:72" x14ac:dyDescent="0.15">
      <c r="A96" t="s">
        <v>72</v>
      </c>
      <c r="B96" t="s">
        <v>2121</v>
      </c>
      <c r="C96" t="s">
        <v>74</v>
      </c>
      <c r="D96" t="s">
        <v>74</v>
      </c>
      <c r="E96" t="s">
        <v>74</v>
      </c>
      <c r="F96" t="s">
        <v>2122</v>
      </c>
      <c r="G96" t="s">
        <v>74</v>
      </c>
      <c r="H96" t="s">
        <v>74</v>
      </c>
      <c r="I96" t="s">
        <v>2123</v>
      </c>
      <c r="J96" t="s">
        <v>2124</v>
      </c>
      <c r="K96" t="s">
        <v>74</v>
      </c>
      <c r="L96" t="s">
        <v>74</v>
      </c>
      <c r="M96" t="s">
        <v>78</v>
      </c>
      <c r="N96" t="s">
        <v>79</v>
      </c>
      <c r="O96" t="s">
        <v>74</v>
      </c>
      <c r="P96" t="s">
        <v>74</v>
      </c>
      <c r="Q96" t="s">
        <v>74</v>
      </c>
      <c r="R96" t="s">
        <v>74</v>
      </c>
      <c r="S96" t="s">
        <v>74</v>
      </c>
      <c r="T96" t="s">
        <v>74</v>
      </c>
      <c r="U96" t="s">
        <v>2125</v>
      </c>
      <c r="V96" t="s">
        <v>2126</v>
      </c>
      <c r="W96" t="s">
        <v>2127</v>
      </c>
      <c r="X96" t="s">
        <v>2128</v>
      </c>
      <c r="Y96" t="s">
        <v>2129</v>
      </c>
      <c r="Z96" t="s">
        <v>2130</v>
      </c>
      <c r="AA96" t="s">
        <v>2131</v>
      </c>
      <c r="AB96" t="s">
        <v>2132</v>
      </c>
      <c r="AC96" t="s">
        <v>2133</v>
      </c>
      <c r="AD96" t="s">
        <v>2134</v>
      </c>
      <c r="AE96" t="s">
        <v>2135</v>
      </c>
      <c r="AF96" t="s">
        <v>74</v>
      </c>
      <c r="AG96">
        <v>46</v>
      </c>
      <c r="AH96">
        <v>1</v>
      </c>
      <c r="AI96">
        <v>1</v>
      </c>
      <c r="AJ96">
        <v>6</v>
      </c>
      <c r="AK96">
        <v>9</v>
      </c>
      <c r="AL96" t="s">
        <v>152</v>
      </c>
      <c r="AM96" t="s">
        <v>153</v>
      </c>
      <c r="AN96" t="s">
        <v>154</v>
      </c>
      <c r="AO96" t="s">
        <v>2136</v>
      </c>
      <c r="AP96" t="s">
        <v>74</v>
      </c>
      <c r="AQ96" t="s">
        <v>74</v>
      </c>
      <c r="AR96" t="s">
        <v>2124</v>
      </c>
      <c r="AS96" t="s">
        <v>2137</v>
      </c>
      <c r="AT96" t="s">
        <v>2138</v>
      </c>
      <c r="AU96">
        <v>2025</v>
      </c>
      <c r="AV96">
        <v>10</v>
      </c>
      <c r="AW96">
        <v>15</v>
      </c>
      <c r="AX96" t="s">
        <v>74</v>
      </c>
      <c r="AY96" t="s">
        <v>74</v>
      </c>
      <c r="AZ96" t="s">
        <v>74</v>
      </c>
      <c r="BA96" t="s">
        <v>74</v>
      </c>
      <c r="BB96">
        <v>15629</v>
      </c>
      <c r="BC96">
        <v>15636</v>
      </c>
      <c r="BD96" t="s">
        <v>74</v>
      </c>
      <c r="BE96" t="s">
        <v>2139</v>
      </c>
      <c r="BF96" t="str">
        <f>HYPERLINK("http://dx.doi.org/10.1021/acsomega.5c00912","http://dx.doi.org/10.1021/acsomega.5c00912")</f>
        <v>http://dx.doi.org/10.1021/acsomega.5c00912</v>
      </c>
      <c r="BG96" t="s">
        <v>74</v>
      </c>
      <c r="BH96" t="s">
        <v>1253</v>
      </c>
      <c r="BI96">
        <v>8</v>
      </c>
      <c r="BJ96" t="s">
        <v>1069</v>
      </c>
      <c r="BK96" t="s">
        <v>103</v>
      </c>
      <c r="BL96" t="s">
        <v>1070</v>
      </c>
      <c r="BM96" t="s">
        <v>2140</v>
      </c>
      <c r="BN96">
        <v>40290956</v>
      </c>
      <c r="BO96" t="s">
        <v>191</v>
      </c>
      <c r="BP96" t="s">
        <v>74</v>
      </c>
      <c r="BQ96" t="s">
        <v>74</v>
      </c>
      <c r="BR96" t="s">
        <v>106</v>
      </c>
      <c r="BS96" t="s">
        <v>2141</v>
      </c>
      <c r="BT96" t="str">
        <f>HYPERLINK("https%3A%2F%2Fwww.webofscience.com%2Fwos%2Fwoscc%2Ffull-record%2FWOS:001465852700001","View Full Record in Web of Science")</f>
        <v>View Full Record in Web of Science</v>
      </c>
    </row>
    <row r="97" spans="1:72" x14ac:dyDescent="0.15">
      <c r="A97" t="s">
        <v>72</v>
      </c>
      <c r="B97" t="s">
        <v>2142</v>
      </c>
      <c r="C97" t="s">
        <v>74</v>
      </c>
      <c r="D97" t="s">
        <v>74</v>
      </c>
      <c r="E97" t="s">
        <v>74</v>
      </c>
      <c r="F97" t="s">
        <v>2143</v>
      </c>
      <c r="G97" t="s">
        <v>74</v>
      </c>
      <c r="H97" t="s">
        <v>74</v>
      </c>
      <c r="I97" t="s">
        <v>2144</v>
      </c>
      <c r="J97" t="s">
        <v>2145</v>
      </c>
      <c r="K97" t="s">
        <v>74</v>
      </c>
      <c r="L97" t="s">
        <v>74</v>
      </c>
      <c r="M97" t="s">
        <v>78</v>
      </c>
      <c r="N97" t="s">
        <v>79</v>
      </c>
      <c r="O97" t="s">
        <v>74</v>
      </c>
      <c r="P97" t="s">
        <v>74</v>
      </c>
      <c r="Q97" t="s">
        <v>74</v>
      </c>
      <c r="R97" t="s">
        <v>74</v>
      </c>
      <c r="S97" t="s">
        <v>74</v>
      </c>
      <c r="T97" t="s">
        <v>74</v>
      </c>
      <c r="U97" t="s">
        <v>2146</v>
      </c>
      <c r="V97" t="s">
        <v>2147</v>
      </c>
      <c r="W97" t="s">
        <v>2148</v>
      </c>
      <c r="X97" t="s">
        <v>354</v>
      </c>
      <c r="Y97" t="s">
        <v>458</v>
      </c>
      <c r="Z97" t="s">
        <v>459</v>
      </c>
      <c r="AA97" t="s">
        <v>2149</v>
      </c>
      <c r="AB97" t="s">
        <v>2150</v>
      </c>
      <c r="AC97" t="s">
        <v>2151</v>
      </c>
      <c r="AD97" t="s">
        <v>2152</v>
      </c>
      <c r="AE97" t="s">
        <v>2153</v>
      </c>
      <c r="AF97" t="s">
        <v>74</v>
      </c>
      <c r="AG97">
        <v>37</v>
      </c>
      <c r="AH97">
        <v>3</v>
      </c>
      <c r="AI97">
        <v>4</v>
      </c>
      <c r="AJ97">
        <v>3</v>
      </c>
      <c r="AK97">
        <v>4</v>
      </c>
      <c r="AL97" t="s">
        <v>491</v>
      </c>
      <c r="AM97" t="s">
        <v>124</v>
      </c>
      <c r="AN97" t="s">
        <v>492</v>
      </c>
      <c r="AO97" t="s">
        <v>2154</v>
      </c>
      <c r="AP97" t="s">
        <v>2155</v>
      </c>
      <c r="AQ97" t="s">
        <v>74</v>
      </c>
      <c r="AR97" t="s">
        <v>2145</v>
      </c>
      <c r="AS97" t="s">
        <v>2156</v>
      </c>
      <c r="AT97" t="s">
        <v>2157</v>
      </c>
      <c r="AU97">
        <v>2024</v>
      </c>
      <c r="AV97">
        <v>16</v>
      </c>
      <c r="AW97">
        <v>44</v>
      </c>
      <c r="AX97" t="s">
        <v>74</v>
      </c>
      <c r="AY97" t="s">
        <v>74</v>
      </c>
      <c r="AZ97" t="s">
        <v>74</v>
      </c>
      <c r="BA97" t="s">
        <v>74</v>
      </c>
      <c r="BB97">
        <v>20714</v>
      </c>
      <c r="BC97">
        <v>20724</v>
      </c>
      <c r="BD97" t="s">
        <v>74</v>
      </c>
      <c r="BE97" t="s">
        <v>2158</v>
      </c>
      <c r="BF97" t="str">
        <f>HYPERLINK("http://dx.doi.org/10.1039/d4nr02291b","http://dx.doi.org/10.1039/d4nr02291b")</f>
        <v>http://dx.doi.org/10.1039/d4nr02291b</v>
      </c>
      <c r="BG97" t="s">
        <v>74</v>
      </c>
      <c r="BH97" t="s">
        <v>498</v>
      </c>
      <c r="BI97">
        <v>11</v>
      </c>
      <c r="BJ97" t="s">
        <v>2159</v>
      </c>
      <c r="BK97" t="s">
        <v>103</v>
      </c>
      <c r="BL97" t="s">
        <v>606</v>
      </c>
      <c r="BM97" t="s">
        <v>2160</v>
      </c>
      <c r="BN97">
        <v>39434696</v>
      </c>
      <c r="BO97" t="s">
        <v>344</v>
      </c>
      <c r="BP97" t="s">
        <v>74</v>
      </c>
      <c r="BQ97" t="s">
        <v>74</v>
      </c>
      <c r="BR97" t="s">
        <v>106</v>
      </c>
      <c r="BS97" t="s">
        <v>2161</v>
      </c>
      <c r="BT97" t="str">
        <f>HYPERLINK("https%3A%2F%2Fwww.webofscience.com%2Fwos%2Fwoscc%2Ffull-record%2FWOS:001337345900001","View Full Record in Web of Science")</f>
        <v>View Full Record in Web of Science</v>
      </c>
    </row>
    <row r="98" spans="1:72" x14ac:dyDescent="0.15">
      <c r="A98" t="s">
        <v>72</v>
      </c>
      <c r="B98" t="s">
        <v>2162</v>
      </c>
      <c r="C98" t="s">
        <v>74</v>
      </c>
      <c r="D98" t="s">
        <v>74</v>
      </c>
      <c r="E98" t="s">
        <v>74</v>
      </c>
      <c r="F98" t="s">
        <v>2163</v>
      </c>
      <c r="G98" t="s">
        <v>74</v>
      </c>
      <c r="H98" t="s">
        <v>74</v>
      </c>
      <c r="I98" t="s">
        <v>2164</v>
      </c>
      <c r="J98" t="s">
        <v>1422</v>
      </c>
      <c r="K98" t="s">
        <v>74</v>
      </c>
      <c r="L98" t="s">
        <v>74</v>
      </c>
      <c r="M98" t="s">
        <v>78</v>
      </c>
      <c r="N98" t="s">
        <v>79</v>
      </c>
      <c r="O98" t="s">
        <v>74</v>
      </c>
      <c r="P98" t="s">
        <v>74</v>
      </c>
      <c r="Q98" t="s">
        <v>74</v>
      </c>
      <c r="R98" t="s">
        <v>74</v>
      </c>
      <c r="S98" t="s">
        <v>74</v>
      </c>
      <c r="T98" t="s">
        <v>2165</v>
      </c>
      <c r="U98" t="s">
        <v>74</v>
      </c>
      <c r="V98" t="s">
        <v>2166</v>
      </c>
      <c r="W98" t="s">
        <v>2167</v>
      </c>
      <c r="X98" t="s">
        <v>2168</v>
      </c>
      <c r="Y98" t="s">
        <v>1106</v>
      </c>
      <c r="Z98" t="s">
        <v>1107</v>
      </c>
      <c r="AA98" t="s">
        <v>2169</v>
      </c>
      <c r="AB98" t="s">
        <v>2170</v>
      </c>
      <c r="AC98" t="s">
        <v>2171</v>
      </c>
      <c r="AD98" t="s">
        <v>2172</v>
      </c>
      <c r="AE98" t="s">
        <v>2173</v>
      </c>
      <c r="AF98" t="s">
        <v>74</v>
      </c>
      <c r="AG98">
        <v>24</v>
      </c>
      <c r="AH98">
        <v>43</v>
      </c>
      <c r="AI98">
        <v>46</v>
      </c>
      <c r="AJ98">
        <v>19</v>
      </c>
      <c r="AK98">
        <v>98</v>
      </c>
      <c r="AL98" t="s">
        <v>152</v>
      </c>
      <c r="AM98" t="s">
        <v>153</v>
      </c>
      <c r="AN98" t="s">
        <v>154</v>
      </c>
      <c r="AO98" t="s">
        <v>1433</v>
      </c>
      <c r="AP98" t="s">
        <v>1434</v>
      </c>
      <c r="AQ98" t="s">
        <v>74</v>
      </c>
      <c r="AR98" t="s">
        <v>1422</v>
      </c>
      <c r="AS98" t="s">
        <v>1435</v>
      </c>
      <c r="AT98" t="s">
        <v>2174</v>
      </c>
      <c r="AU98">
        <v>2024</v>
      </c>
      <c r="AV98">
        <v>18</v>
      </c>
      <c r="AW98">
        <v>24</v>
      </c>
      <c r="AX98" t="s">
        <v>74</v>
      </c>
      <c r="AY98" t="s">
        <v>74</v>
      </c>
      <c r="AZ98" t="s">
        <v>74</v>
      </c>
      <c r="BA98" t="s">
        <v>74</v>
      </c>
      <c r="BB98">
        <v>15925</v>
      </c>
      <c r="BC98">
        <v>15934</v>
      </c>
      <c r="BD98" t="s">
        <v>74</v>
      </c>
      <c r="BE98" t="s">
        <v>2175</v>
      </c>
      <c r="BF98" t="str">
        <f>HYPERLINK("http://dx.doi.org/10.1021/acsnano.4c03541","http://dx.doi.org/10.1021/acsnano.4c03541")</f>
        <v>http://dx.doi.org/10.1021/acsnano.4c03541</v>
      </c>
      <c r="BG98" t="s">
        <v>74</v>
      </c>
      <c r="BH98" t="s">
        <v>319</v>
      </c>
      <c r="BI98">
        <v>10</v>
      </c>
      <c r="BJ98" t="s">
        <v>1438</v>
      </c>
      <c r="BK98" t="s">
        <v>103</v>
      </c>
      <c r="BL98" t="s">
        <v>556</v>
      </c>
      <c r="BM98" t="s">
        <v>2176</v>
      </c>
      <c r="BN98">
        <v>38830113</v>
      </c>
      <c r="BO98" t="s">
        <v>74</v>
      </c>
      <c r="BP98" t="s">
        <v>74</v>
      </c>
      <c r="BQ98" t="s">
        <v>74</v>
      </c>
      <c r="BR98" t="s">
        <v>106</v>
      </c>
      <c r="BS98" t="s">
        <v>2177</v>
      </c>
      <c r="BT98" t="str">
        <f>HYPERLINK("https%3A%2F%2Fwww.webofscience.com%2Fwos%2Fwoscc%2Ffull-record%2FWOS:001238258200001","View Full Record in Web of Science")</f>
        <v>View Full Record in Web of Science</v>
      </c>
    </row>
    <row r="99" spans="1:72" x14ac:dyDescent="0.15">
      <c r="A99" t="s">
        <v>72</v>
      </c>
      <c r="B99" t="s">
        <v>2178</v>
      </c>
      <c r="C99" t="s">
        <v>74</v>
      </c>
      <c r="D99" t="s">
        <v>74</v>
      </c>
      <c r="E99" t="s">
        <v>74</v>
      </c>
      <c r="F99" t="s">
        <v>2179</v>
      </c>
      <c r="G99" t="s">
        <v>74</v>
      </c>
      <c r="H99" t="s">
        <v>74</v>
      </c>
      <c r="I99" t="s">
        <v>2180</v>
      </c>
      <c r="J99" t="s">
        <v>2181</v>
      </c>
      <c r="K99" t="s">
        <v>74</v>
      </c>
      <c r="L99" t="s">
        <v>74</v>
      </c>
      <c r="M99" t="s">
        <v>78</v>
      </c>
      <c r="N99" t="s">
        <v>79</v>
      </c>
      <c r="O99" t="s">
        <v>74</v>
      </c>
      <c r="P99" t="s">
        <v>74</v>
      </c>
      <c r="Q99" t="s">
        <v>74</v>
      </c>
      <c r="R99" t="s">
        <v>74</v>
      </c>
      <c r="S99" t="s">
        <v>74</v>
      </c>
      <c r="T99" t="s">
        <v>74</v>
      </c>
      <c r="U99" t="s">
        <v>2182</v>
      </c>
      <c r="V99" t="s">
        <v>2183</v>
      </c>
      <c r="W99" t="s">
        <v>2184</v>
      </c>
      <c r="X99" t="s">
        <v>2185</v>
      </c>
      <c r="Y99" t="s">
        <v>2186</v>
      </c>
      <c r="Z99" t="s">
        <v>2187</v>
      </c>
      <c r="AA99" t="s">
        <v>2188</v>
      </c>
      <c r="AB99" t="s">
        <v>2189</v>
      </c>
      <c r="AC99" t="s">
        <v>2190</v>
      </c>
      <c r="AD99" t="s">
        <v>2191</v>
      </c>
      <c r="AE99" t="s">
        <v>2192</v>
      </c>
      <c r="AF99" t="s">
        <v>74</v>
      </c>
      <c r="AG99">
        <v>18</v>
      </c>
      <c r="AH99">
        <v>0</v>
      </c>
      <c r="AI99">
        <v>0</v>
      </c>
      <c r="AJ99">
        <v>1</v>
      </c>
      <c r="AK99">
        <v>8</v>
      </c>
      <c r="AL99" t="s">
        <v>152</v>
      </c>
      <c r="AM99" t="s">
        <v>153</v>
      </c>
      <c r="AN99" t="s">
        <v>154</v>
      </c>
      <c r="AO99" t="s">
        <v>2193</v>
      </c>
      <c r="AP99" t="s">
        <v>2194</v>
      </c>
      <c r="AQ99" t="s">
        <v>74</v>
      </c>
      <c r="AR99" t="s">
        <v>2195</v>
      </c>
      <c r="AS99" t="s">
        <v>2196</v>
      </c>
      <c r="AT99" t="s">
        <v>2050</v>
      </c>
      <c r="AU99">
        <v>2025</v>
      </c>
      <c r="AV99">
        <v>129</v>
      </c>
      <c r="AW99">
        <v>14</v>
      </c>
      <c r="AX99" t="s">
        <v>74</v>
      </c>
      <c r="AY99" t="s">
        <v>74</v>
      </c>
      <c r="AZ99" t="s">
        <v>74</v>
      </c>
      <c r="BA99" t="s">
        <v>74</v>
      </c>
      <c r="BB99">
        <v>6757</v>
      </c>
      <c r="BC99">
        <v>6761</v>
      </c>
      <c r="BD99" t="s">
        <v>74</v>
      </c>
      <c r="BE99" t="s">
        <v>2197</v>
      </c>
      <c r="BF99" t="str">
        <f>HYPERLINK("http://dx.doi.org/10.1021/acs.jpcc.5c00463","http://dx.doi.org/10.1021/acs.jpcc.5c00463")</f>
        <v>http://dx.doi.org/10.1021/acs.jpcc.5c00463</v>
      </c>
      <c r="BG99" t="s">
        <v>74</v>
      </c>
      <c r="BH99" t="s">
        <v>421</v>
      </c>
      <c r="BI99">
        <v>5</v>
      </c>
      <c r="BJ99" t="s">
        <v>2198</v>
      </c>
      <c r="BK99" t="s">
        <v>103</v>
      </c>
      <c r="BL99" t="s">
        <v>556</v>
      </c>
      <c r="BM99" t="s">
        <v>2199</v>
      </c>
      <c r="BN99" t="s">
        <v>74</v>
      </c>
      <c r="BO99" t="s">
        <v>74</v>
      </c>
      <c r="BP99" t="s">
        <v>74</v>
      </c>
      <c r="BQ99" t="s">
        <v>74</v>
      </c>
      <c r="BR99" t="s">
        <v>106</v>
      </c>
      <c r="BS99" t="s">
        <v>2200</v>
      </c>
      <c r="BT99" t="str">
        <f>HYPERLINK("https%3A%2F%2Fwww.webofscience.com%2Fwos%2Fwoscc%2Ffull-record%2FWOS:001454575400001","View Full Record in Web of Science")</f>
        <v>View Full Record in Web of Science</v>
      </c>
    </row>
    <row r="100" spans="1:72" x14ac:dyDescent="0.15">
      <c r="A100" t="s">
        <v>72</v>
      </c>
      <c r="B100" t="s">
        <v>2201</v>
      </c>
      <c r="C100" t="s">
        <v>74</v>
      </c>
      <c r="D100" t="s">
        <v>74</v>
      </c>
      <c r="E100" t="s">
        <v>74</v>
      </c>
      <c r="F100" t="s">
        <v>2202</v>
      </c>
      <c r="G100" t="s">
        <v>74</v>
      </c>
      <c r="H100" t="s">
        <v>74</v>
      </c>
      <c r="I100" t="s">
        <v>2203</v>
      </c>
      <c r="J100" t="s">
        <v>1562</v>
      </c>
      <c r="K100" t="s">
        <v>74</v>
      </c>
      <c r="L100" t="s">
        <v>74</v>
      </c>
      <c r="M100" t="s">
        <v>78</v>
      </c>
      <c r="N100" t="s">
        <v>79</v>
      </c>
      <c r="O100" t="s">
        <v>74</v>
      </c>
      <c r="P100" t="s">
        <v>74</v>
      </c>
      <c r="Q100" t="s">
        <v>74</v>
      </c>
      <c r="R100" t="s">
        <v>74</v>
      </c>
      <c r="S100" t="s">
        <v>74</v>
      </c>
      <c r="T100" t="s">
        <v>74</v>
      </c>
      <c r="U100" t="s">
        <v>74</v>
      </c>
      <c r="V100" t="s">
        <v>2204</v>
      </c>
      <c r="W100" t="s">
        <v>2205</v>
      </c>
      <c r="X100" t="s">
        <v>2206</v>
      </c>
      <c r="Y100" t="s">
        <v>1565</v>
      </c>
      <c r="Z100" t="s">
        <v>1566</v>
      </c>
      <c r="AA100" t="s">
        <v>2207</v>
      </c>
      <c r="AB100" t="s">
        <v>2208</v>
      </c>
      <c r="AC100" t="s">
        <v>2209</v>
      </c>
      <c r="AD100" t="s">
        <v>2210</v>
      </c>
      <c r="AE100" t="s">
        <v>2211</v>
      </c>
      <c r="AF100" t="s">
        <v>74</v>
      </c>
      <c r="AG100">
        <v>25</v>
      </c>
      <c r="AH100">
        <v>0</v>
      </c>
      <c r="AI100">
        <v>0</v>
      </c>
      <c r="AJ100">
        <v>2</v>
      </c>
      <c r="AK100">
        <v>5</v>
      </c>
      <c r="AL100" t="s">
        <v>645</v>
      </c>
      <c r="AM100" t="s">
        <v>646</v>
      </c>
      <c r="AN100" t="s">
        <v>647</v>
      </c>
      <c r="AO100" t="s">
        <v>1572</v>
      </c>
      <c r="AP100" t="s">
        <v>74</v>
      </c>
      <c r="AQ100" t="s">
        <v>74</v>
      </c>
      <c r="AR100" t="s">
        <v>1573</v>
      </c>
      <c r="AS100" t="s">
        <v>1574</v>
      </c>
      <c r="AT100" t="s">
        <v>1575</v>
      </c>
      <c r="AU100">
        <v>2024</v>
      </c>
      <c r="AV100">
        <v>22</v>
      </c>
      <c r="AW100">
        <v>1</v>
      </c>
      <c r="AX100" t="s">
        <v>74</v>
      </c>
      <c r="AY100" t="s">
        <v>74</v>
      </c>
      <c r="AZ100" t="s">
        <v>74</v>
      </c>
      <c r="BA100" t="s">
        <v>74</v>
      </c>
      <c r="BB100" t="s">
        <v>74</v>
      </c>
      <c r="BC100" t="s">
        <v>74</v>
      </c>
      <c r="BD100">
        <v>14011</v>
      </c>
      <c r="BE100" t="s">
        <v>2212</v>
      </c>
      <c r="BF100" t="str">
        <f>HYPERLINK("http://dx.doi.org/10.1103/PhysRevApplied.22.014011","http://dx.doi.org/10.1103/PhysRevApplied.22.014011")</f>
        <v>http://dx.doi.org/10.1103/PhysRevApplied.22.014011</v>
      </c>
      <c r="BG100" t="s">
        <v>74</v>
      </c>
      <c r="BH100" t="s">
        <v>74</v>
      </c>
      <c r="BI100">
        <v>7</v>
      </c>
      <c r="BJ100" t="s">
        <v>1577</v>
      </c>
      <c r="BK100" t="s">
        <v>103</v>
      </c>
      <c r="BL100" t="s">
        <v>654</v>
      </c>
      <c r="BM100" t="s">
        <v>1578</v>
      </c>
      <c r="BN100" t="s">
        <v>74</v>
      </c>
      <c r="BO100" t="s">
        <v>105</v>
      </c>
      <c r="BP100" t="s">
        <v>74</v>
      </c>
      <c r="BQ100" t="s">
        <v>74</v>
      </c>
      <c r="BR100" t="s">
        <v>106</v>
      </c>
      <c r="BS100" t="s">
        <v>2213</v>
      </c>
      <c r="BT100" t="str">
        <f>HYPERLINK("https%3A%2F%2Fwww.webofscience.com%2Fwos%2Fwoscc%2Ffull-record%2FWOS:001264087700003","View Full Record in Web of Science")</f>
        <v>View Full Record in Web of Science</v>
      </c>
    </row>
    <row r="101" spans="1:72" x14ac:dyDescent="0.15">
      <c r="A101" t="s">
        <v>72</v>
      </c>
      <c r="B101" t="s">
        <v>2214</v>
      </c>
      <c r="C101" t="s">
        <v>74</v>
      </c>
      <c r="D101" t="s">
        <v>74</v>
      </c>
      <c r="E101" t="s">
        <v>74</v>
      </c>
      <c r="F101" t="s">
        <v>2215</v>
      </c>
      <c r="G101" t="s">
        <v>74</v>
      </c>
      <c r="H101" t="s">
        <v>74</v>
      </c>
      <c r="I101" t="s">
        <v>2216</v>
      </c>
      <c r="J101" t="s">
        <v>773</v>
      </c>
      <c r="K101" t="s">
        <v>74</v>
      </c>
      <c r="L101" t="s">
        <v>74</v>
      </c>
      <c r="M101" t="s">
        <v>78</v>
      </c>
      <c r="N101" t="s">
        <v>79</v>
      </c>
      <c r="O101" t="s">
        <v>74</v>
      </c>
      <c r="P101" t="s">
        <v>74</v>
      </c>
      <c r="Q101" t="s">
        <v>74</v>
      </c>
      <c r="R101" t="s">
        <v>74</v>
      </c>
      <c r="S101" t="s">
        <v>74</v>
      </c>
      <c r="T101" t="s">
        <v>74</v>
      </c>
      <c r="U101" t="s">
        <v>2217</v>
      </c>
      <c r="V101" t="s">
        <v>2218</v>
      </c>
      <c r="W101" t="s">
        <v>2219</v>
      </c>
      <c r="X101" t="s">
        <v>2220</v>
      </c>
      <c r="Y101" t="s">
        <v>2221</v>
      </c>
      <c r="Z101" t="s">
        <v>1677</v>
      </c>
      <c r="AA101" t="s">
        <v>74</v>
      </c>
      <c r="AB101" t="s">
        <v>2222</v>
      </c>
      <c r="AC101" t="s">
        <v>2223</v>
      </c>
      <c r="AD101" t="s">
        <v>2224</v>
      </c>
      <c r="AE101" t="s">
        <v>2225</v>
      </c>
      <c r="AF101" t="s">
        <v>74</v>
      </c>
      <c r="AG101">
        <v>30</v>
      </c>
      <c r="AH101">
        <v>1</v>
      </c>
      <c r="AI101">
        <v>1</v>
      </c>
      <c r="AJ101">
        <v>2</v>
      </c>
      <c r="AK101">
        <v>4</v>
      </c>
      <c r="AL101" t="s">
        <v>152</v>
      </c>
      <c r="AM101" t="s">
        <v>153</v>
      </c>
      <c r="AN101" t="s">
        <v>154</v>
      </c>
      <c r="AO101" t="s">
        <v>74</v>
      </c>
      <c r="AP101" t="s">
        <v>783</v>
      </c>
      <c r="AQ101" t="s">
        <v>74</v>
      </c>
      <c r="AR101" t="s">
        <v>784</v>
      </c>
      <c r="AS101" t="s">
        <v>785</v>
      </c>
      <c r="AT101" t="s">
        <v>2226</v>
      </c>
      <c r="AU101">
        <v>2025</v>
      </c>
      <c r="AV101">
        <v>14</v>
      </c>
      <c r="AW101">
        <v>8</v>
      </c>
      <c r="AX101" t="s">
        <v>74</v>
      </c>
      <c r="AY101" t="s">
        <v>74</v>
      </c>
      <c r="AZ101" t="s">
        <v>74</v>
      </c>
      <c r="BA101" t="s">
        <v>74</v>
      </c>
      <c r="BB101">
        <v>1032</v>
      </c>
      <c r="BC101">
        <v>1037</v>
      </c>
      <c r="BD101" t="s">
        <v>74</v>
      </c>
      <c r="BE101" t="s">
        <v>2227</v>
      </c>
      <c r="BF101" t="str">
        <f>HYPERLINK("http://dx.doi.org/10.1021/acsmacrolett.5c00258","http://dx.doi.org/10.1021/acsmacrolett.5c00258")</f>
        <v>http://dx.doi.org/10.1021/acsmacrolett.5c00258</v>
      </c>
      <c r="BG101" t="s">
        <v>74</v>
      </c>
      <c r="BH101" t="s">
        <v>342</v>
      </c>
      <c r="BI101">
        <v>6</v>
      </c>
      <c r="BJ101" t="s">
        <v>102</v>
      </c>
      <c r="BK101" t="s">
        <v>103</v>
      </c>
      <c r="BL101" t="s">
        <v>102</v>
      </c>
      <c r="BM101" t="s">
        <v>2228</v>
      </c>
      <c r="BN101">
        <v>40627832</v>
      </c>
      <c r="BO101" t="s">
        <v>74</v>
      </c>
      <c r="BP101" t="s">
        <v>74</v>
      </c>
      <c r="BQ101" t="s">
        <v>74</v>
      </c>
      <c r="BR101" t="s">
        <v>106</v>
      </c>
      <c r="BS101" t="s">
        <v>2229</v>
      </c>
      <c r="BT101" t="str">
        <f>HYPERLINK("https%3A%2F%2Fwww.webofscience.com%2Fwos%2Fwoscc%2Ffull-record%2FWOS:001526329200001","View Full Record in Web of Science")</f>
        <v>View Full Record in Web of Science</v>
      </c>
    </row>
    <row r="102" spans="1:72" x14ac:dyDescent="0.15">
      <c r="A102" t="s">
        <v>72</v>
      </c>
      <c r="B102" t="s">
        <v>2214</v>
      </c>
      <c r="C102" t="s">
        <v>74</v>
      </c>
      <c r="D102" t="s">
        <v>74</v>
      </c>
      <c r="E102" t="s">
        <v>74</v>
      </c>
      <c r="F102" t="s">
        <v>2215</v>
      </c>
      <c r="G102" t="s">
        <v>74</v>
      </c>
      <c r="H102" t="s">
        <v>74</v>
      </c>
      <c r="I102" t="s">
        <v>2230</v>
      </c>
      <c r="J102" t="s">
        <v>1006</v>
      </c>
      <c r="K102" t="s">
        <v>74</v>
      </c>
      <c r="L102" t="s">
        <v>74</v>
      </c>
      <c r="M102" t="s">
        <v>78</v>
      </c>
      <c r="N102" t="s">
        <v>79</v>
      </c>
      <c r="O102" t="s">
        <v>74</v>
      </c>
      <c r="P102" t="s">
        <v>74</v>
      </c>
      <c r="Q102" t="s">
        <v>74</v>
      </c>
      <c r="R102" t="s">
        <v>74</v>
      </c>
      <c r="S102" t="s">
        <v>74</v>
      </c>
      <c r="T102" t="s">
        <v>74</v>
      </c>
      <c r="U102" t="s">
        <v>2231</v>
      </c>
      <c r="V102" t="s">
        <v>2232</v>
      </c>
      <c r="W102" t="s">
        <v>2219</v>
      </c>
      <c r="X102" t="s">
        <v>2220</v>
      </c>
      <c r="Y102" t="s">
        <v>2221</v>
      </c>
      <c r="Z102" t="s">
        <v>1677</v>
      </c>
      <c r="AA102" t="s">
        <v>74</v>
      </c>
      <c r="AB102" t="s">
        <v>2233</v>
      </c>
      <c r="AC102" t="s">
        <v>2223</v>
      </c>
      <c r="AD102" t="s">
        <v>2224</v>
      </c>
      <c r="AE102" t="s">
        <v>2234</v>
      </c>
      <c r="AF102" t="s">
        <v>74</v>
      </c>
      <c r="AG102">
        <v>36</v>
      </c>
      <c r="AH102">
        <v>5</v>
      </c>
      <c r="AI102">
        <v>5</v>
      </c>
      <c r="AJ102">
        <v>5</v>
      </c>
      <c r="AK102">
        <v>11</v>
      </c>
      <c r="AL102" t="s">
        <v>152</v>
      </c>
      <c r="AM102" t="s">
        <v>153</v>
      </c>
      <c r="AN102" t="s">
        <v>154</v>
      </c>
      <c r="AO102" t="s">
        <v>1016</v>
      </c>
      <c r="AP102" t="s">
        <v>1017</v>
      </c>
      <c r="AQ102" t="s">
        <v>74</v>
      </c>
      <c r="AR102" t="s">
        <v>1018</v>
      </c>
      <c r="AS102" t="s">
        <v>1019</v>
      </c>
      <c r="AT102" t="s">
        <v>2235</v>
      </c>
      <c r="AU102">
        <v>2024</v>
      </c>
      <c r="AV102">
        <v>128</v>
      </c>
      <c r="AW102">
        <v>49</v>
      </c>
      <c r="AX102" t="s">
        <v>74</v>
      </c>
      <c r="AY102" t="s">
        <v>74</v>
      </c>
      <c r="AZ102" t="s">
        <v>74</v>
      </c>
      <c r="BA102" t="s">
        <v>74</v>
      </c>
      <c r="BB102">
        <v>12268</v>
      </c>
      <c r="BC102">
        <v>12278</v>
      </c>
      <c r="BD102" t="s">
        <v>74</v>
      </c>
      <c r="BE102" t="s">
        <v>2236</v>
      </c>
      <c r="BF102" t="str">
        <f>HYPERLINK("http://dx.doi.org/10.1021/acs.jpcb.4c06630","http://dx.doi.org/10.1021/acs.jpcb.4c06630")</f>
        <v>http://dx.doi.org/10.1021/acs.jpcb.4c06630</v>
      </c>
      <c r="BG102" t="s">
        <v>74</v>
      </c>
      <c r="BH102" t="s">
        <v>554</v>
      </c>
      <c r="BI102">
        <v>11</v>
      </c>
      <c r="BJ102" t="s">
        <v>1023</v>
      </c>
      <c r="BK102" t="s">
        <v>103</v>
      </c>
      <c r="BL102" t="s">
        <v>1024</v>
      </c>
      <c r="BM102" t="s">
        <v>2237</v>
      </c>
      <c r="BN102">
        <v>39607404</v>
      </c>
      <c r="BO102" t="s">
        <v>74</v>
      </c>
      <c r="BP102" t="s">
        <v>74</v>
      </c>
      <c r="BQ102" t="s">
        <v>74</v>
      </c>
      <c r="BR102" t="s">
        <v>106</v>
      </c>
      <c r="BS102" t="s">
        <v>2238</v>
      </c>
      <c r="BT102" t="str">
        <f>HYPERLINK("https%3A%2F%2Fwww.webofscience.com%2Fwos%2Fwoscc%2Ffull-record%2FWOS:001367692300001","View Full Record in Web of Science")</f>
        <v>View Full Record in Web of Science</v>
      </c>
    </row>
    <row r="103" spans="1:72" x14ac:dyDescent="0.15">
      <c r="A103" t="s">
        <v>72</v>
      </c>
      <c r="B103" t="s">
        <v>2239</v>
      </c>
      <c r="C103" t="s">
        <v>74</v>
      </c>
      <c r="D103" t="s">
        <v>74</v>
      </c>
      <c r="E103" t="s">
        <v>74</v>
      </c>
      <c r="F103" t="s">
        <v>2240</v>
      </c>
      <c r="G103" t="s">
        <v>74</v>
      </c>
      <c r="H103" t="s">
        <v>74</v>
      </c>
      <c r="I103" t="s">
        <v>2241</v>
      </c>
      <c r="J103" t="s">
        <v>2181</v>
      </c>
      <c r="K103" t="s">
        <v>74</v>
      </c>
      <c r="L103" t="s">
        <v>74</v>
      </c>
      <c r="M103" t="s">
        <v>78</v>
      </c>
      <c r="N103" t="s">
        <v>79</v>
      </c>
      <c r="O103" t="s">
        <v>74</v>
      </c>
      <c r="P103" t="s">
        <v>74</v>
      </c>
      <c r="Q103" t="s">
        <v>74</v>
      </c>
      <c r="R103" t="s">
        <v>74</v>
      </c>
      <c r="S103" t="s">
        <v>74</v>
      </c>
      <c r="T103" t="s">
        <v>74</v>
      </c>
      <c r="U103" t="s">
        <v>2242</v>
      </c>
      <c r="V103" t="s">
        <v>2243</v>
      </c>
      <c r="W103" t="s">
        <v>2244</v>
      </c>
      <c r="X103" t="s">
        <v>2245</v>
      </c>
      <c r="Y103" t="s">
        <v>1676</v>
      </c>
      <c r="Z103" t="s">
        <v>1677</v>
      </c>
      <c r="AA103" t="s">
        <v>2246</v>
      </c>
      <c r="AB103" t="s">
        <v>2247</v>
      </c>
      <c r="AC103" t="s">
        <v>2248</v>
      </c>
      <c r="AD103" t="s">
        <v>2249</v>
      </c>
      <c r="AE103" t="s">
        <v>2250</v>
      </c>
      <c r="AF103" t="s">
        <v>74</v>
      </c>
      <c r="AG103">
        <v>65</v>
      </c>
      <c r="AH103">
        <v>8</v>
      </c>
      <c r="AI103">
        <v>8</v>
      </c>
      <c r="AJ103">
        <v>0</v>
      </c>
      <c r="AK103">
        <v>26</v>
      </c>
      <c r="AL103" t="s">
        <v>152</v>
      </c>
      <c r="AM103" t="s">
        <v>153</v>
      </c>
      <c r="AN103" t="s">
        <v>154</v>
      </c>
      <c r="AO103" t="s">
        <v>2193</v>
      </c>
      <c r="AP103" t="s">
        <v>2194</v>
      </c>
      <c r="AQ103" t="s">
        <v>74</v>
      </c>
      <c r="AR103" t="s">
        <v>2195</v>
      </c>
      <c r="AS103" t="s">
        <v>2196</v>
      </c>
      <c r="AT103" t="s">
        <v>1538</v>
      </c>
      <c r="AU103">
        <v>2023</v>
      </c>
      <c r="AV103">
        <v>128</v>
      </c>
      <c r="AW103">
        <v>1</v>
      </c>
      <c r="AX103" t="s">
        <v>74</v>
      </c>
      <c r="AY103" t="s">
        <v>74</v>
      </c>
      <c r="AZ103" t="s">
        <v>74</v>
      </c>
      <c r="BA103" t="s">
        <v>74</v>
      </c>
      <c r="BB103">
        <v>38</v>
      </c>
      <c r="BC103">
        <v>49</v>
      </c>
      <c r="BD103" t="s">
        <v>74</v>
      </c>
      <c r="BE103" t="s">
        <v>2251</v>
      </c>
      <c r="BF103" t="str">
        <f>HYPERLINK("http://dx.doi.org/10.1021/acs.jpcc.3c06455","http://dx.doi.org/10.1021/acs.jpcc.3c06455")</f>
        <v>http://dx.doi.org/10.1021/acs.jpcc.3c06455</v>
      </c>
      <c r="BG103" t="s">
        <v>74</v>
      </c>
      <c r="BH103" t="s">
        <v>74</v>
      </c>
      <c r="BI103">
        <v>12</v>
      </c>
      <c r="BJ103" t="s">
        <v>2198</v>
      </c>
      <c r="BK103" t="s">
        <v>103</v>
      </c>
      <c r="BL103" t="s">
        <v>556</v>
      </c>
      <c r="BM103" t="s">
        <v>2252</v>
      </c>
      <c r="BN103" t="s">
        <v>74</v>
      </c>
      <c r="BO103" t="s">
        <v>74</v>
      </c>
      <c r="BP103" t="s">
        <v>74</v>
      </c>
      <c r="BQ103" t="s">
        <v>74</v>
      </c>
      <c r="BR103" t="s">
        <v>106</v>
      </c>
      <c r="BS103" t="s">
        <v>2253</v>
      </c>
      <c r="BT103" t="str">
        <f>HYPERLINK("https%3A%2F%2Fwww.webofscience.com%2Fwos%2Fwoscc%2Ffull-record%2FWOS:001141746300001","View Full Record in Web of Science")</f>
        <v>View Full Record in Web of Science</v>
      </c>
    </row>
    <row r="104" spans="1:72" x14ac:dyDescent="0.15">
      <c r="A104" t="s">
        <v>72</v>
      </c>
      <c r="B104" t="s">
        <v>2254</v>
      </c>
      <c r="C104" t="s">
        <v>74</v>
      </c>
      <c r="D104" t="s">
        <v>74</v>
      </c>
      <c r="E104" t="s">
        <v>74</v>
      </c>
      <c r="F104" t="s">
        <v>2255</v>
      </c>
      <c r="G104" t="s">
        <v>74</v>
      </c>
      <c r="H104" t="s">
        <v>74</v>
      </c>
      <c r="I104" t="s">
        <v>2256</v>
      </c>
      <c r="J104" t="s">
        <v>2257</v>
      </c>
      <c r="K104" t="s">
        <v>74</v>
      </c>
      <c r="L104" t="s">
        <v>74</v>
      </c>
      <c r="M104" t="s">
        <v>78</v>
      </c>
      <c r="N104" t="s">
        <v>79</v>
      </c>
      <c r="O104" t="s">
        <v>74</v>
      </c>
      <c r="P104" t="s">
        <v>74</v>
      </c>
      <c r="Q104" t="s">
        <v>74</v>
      </c>
      <c r="R104" t="s">
        <v>74</v>
      </c>
      <c r="S104" t="s">
        <v>74</v>
      </c>
      <c r="T104" t="s">
        <v>74</v>
      </c>
      <c r="U104" t="s">
        <v>2258</v>
      </c>
      <c r="V104" t="s">
        <v>2259</v>
      </c>
      <c r="W104" t="s">
        <v>2260</v>
      </c>
      <c r="X104" t="s">
        <v>2261</v>
      </c>
      <c r="Y104" t="s">
        <v>2262</v>
      </c>
      <c r="Z104" t="s">
        <v>2263</v>
      </c>
      <c r="AA104" t="s">
        <v>2264</v>
      </c>
      <c r="AB104" t="s">
        <v>2265</v>
      </c>
      <c r="AC104" t="s">
        <v>2266</v>
      </c>
      <c r="AD104" t="s">
        <v>2267</v>
      </c>
      <c r="AE104" t="s">
        <v>2268</v>
      </c>
      <c r="AF104" t="s">
        <v>74</v>
      </c>
      <c r="AG104">
        <v>60</v>
      </c>
      <c r="AH104">
        <v>8</v>
      </c>
      <c r="AI104">
        <v>10</v>
      </c>
      <c r="AJ104">
        <v>1</v>
      </c>
      <c r="AK104">
        <v>2</v>
      </c>
      <c r="AL104" t="s">
        <v>1633</v>
      </c>
      <c r="AM104" t="s">
        <v>626</v>
      </c>
      <c r="AN104" t="s">
        <v>1634</v>
      </c>
      <c r="AO104" t="s">
        <v>74</v>
      </c>
      <c r="AP104" t="s">
        <v>2269</v>
      </c>
      <c r="AQ104" t="s">
        <v>74</v>
      </c>
      <c r="AR104" t="s">
        <v>2270</v>
      </c>
      <c r="AS104" t="s">
        <v>2271</v>
      </c>
      <c r="AT104" t="s">
        <v>2272</v>
      </c>
      <c r="AU104">
        <v>2024</v>
      </c>
      <c r="AV104">
        <v>2</v>
      </c>
      <c r="AW104">
        <v>1</v>
      </c>
      <c r="AX104" t="s">
        <v>74</v>
      </c>
      <c r="AY104" t="s">
        <v>74</v>
      </c>
      <c r="AZ104" t="s">
        <v>74</v>
      </c>
      <c r="BA104" t="s">
        <v>74</v>
      </c>
      <c r="BB104" t="s">
        <v>74</v>
      </c>
      <c r="BC104" t="s">
        <v>74</v>
      </c>
      <c r="BD104">
        <v>16114</v>
      </c>
      <c r="BE104" t="s">
        <v>2273</v>
      </c>
      <c r="BF104" t="str">
        <f>HYPERLINK("http://dx.doi.org/10.1063/5.0181382","http://dx.doi.org/10.1063/5.0181382")</f>
        <v>http://dx.doi.org/10.1063/5.0181382</v>
      </c>
      <c r="BG104" t="s">
        <v>74</v>
      </c>
      <c r="BH104" t="s">
        <v>74</v>
      </c>
      <c r="BI104">
        <v>16</v>
      </c>
      <c r="BJ104" t="s">
        <v>2274</v>
      </c>
      <c r="BK104" t="s">
        <v>236</v>
      </c>
      <c r="BL104" t="s">
        <v>2275</v>
      </c>
      <c r="BM104" t="s">
        <v>2276</v>
      </c>
      <c r="BN104" t="s">
        <v>74</v>
      </c>
      <c r="BO104" t="s">
        <v>191</v>
      </c>
      <c r="BP104" t="s">
        <v>74</v>
      </c>
      <c r="BQ104" t="s">
        <v>74</v>
      </c>
      <c r="BR104" t="s">
        <v>106</v>
      </c>
      <c r="BS104" t="s">
        <v>2277</v>
      </c>
      <c r="BT104" t="str">
        <f>HYPERLINK("https%3A%2F%2Fwww.webofscience.com%2Fwos%2Fwoscc%2Ffull-record%2FWOS:001492080400022","View Full Record in Web of Science")</f>
        <v>View Full Record in Web of Science</v>
      </c>
    </row>
    <row r="105" spans="1:72" x14ac:dyDescent="0.15">
      <c r="A105" t="s">
        <v>72</v>
      </c>
      <c r="B105" t="s">
        <v>2278</v>
      </c>
      <c r="C105" t="s">
        <v>74</v>
      </c>
      <c r="D105" t="s">
        <v>74</v>
      </c>
      <c r="E105" t="s">
        <v>74</v>
      </c>
      <c r="F105" t="s">
        <v>2279</v>
      </c>
      <c r="G105" t="s">
        <v>74</v>
      </c>
      <c r="H105" t="s">
        <v>74</v>
      </c>
      <c r="I105" t="s">
        <v>2280</v>
      </c>
      <c r="J105" t="s">
        <v>2017</v>
      </c>
      <c r="K105" t="s">
        <v>74</v>
      </c>
      <c r="L105" t="s">
        <v>74</v>
      </c>
      <c r="M105" t="s">
        <v>78</v>
      </c>
      <c r="N105" t="s">
        <v>79</v>
      </c>
      <c r="O105" t="s">
        <v>74</v>
      </c>
      <c r="P105" t="s">
        <v>74</v>
      </c>
      <c r="Q105" t="s">
        <v>74</v>
      </c>
      <c r="R105" t="s">
        <v>74</v>
      </c>
      <c r="S105" t="s">
        <v>74</v>
      </c>
      <c r="T105" t="s">
        <v>2281</v>
      </c>
      <c r="U105" t="s">
        <v>74</v>
      </c>
      <c r="V105" t="s">
        <v>2282</v>
      </c>
      <c r="W105" t="s">
        <v>2283</v>
      </c>
      <c r="X105" t="s">
        <v>2284</v>
      </c>
      <c r="Y105" t="s">
        <v>1106</v>
      </c>
      <c r="Z105" t="s">
        <v>1107</v>
      </c>
      <c r="AA105" t="s">
        <v>2285</v>
      </c>
      <c r="AB105" t="s">
        <v>2286</v>
      </c>
      <c r="AC105" t="s">
        <v>2287</v>
      </c>
      <c r="AD105" t="s">
        <v>2288</v>
      </c>
      <c r="AE105" t="s">
        <v>2289</v>
      </c>
      <c r="AF105" t="s">
        <v>74</v>
      </c>
      <c r="AG105">
        <v>33</v>
      </c>
      <c r="AH105">
        <v>4</v>
      </c>
      <c r="AI105">
        <v>4</v>
      </c>
      <c r="AJ105">
        <v>24</v>
      </c>
      <c r="AK105">
        <v>50</v>
      </c>
      <c r="AL105" t="s">
        <v>152</v>
      </c>
      <c r="AM105" t="s">
        <v>153</v>
      </c>
      <c r="AN105" t="s">
        <v>154</v>
      </c>
      <c r="AO105" t="s">
        <v>2029</v>
      </c>
      <c r="AP105" t="s">
        <v>2030</v>
      </c>
      <c r="AQ105" t="s">
        <v>74</v>
      </c>
      <c r="AR105" t="s">
        <v>2031</v>
      </c>
      <c r="AS105" t="s">
        <v>2032</v>
      </c>
      <c r="AT105" t="s">
        <v>786</v>
      </c>
      <c r="AU105">
        <v>2025</v>
      </c>
      <c r="AV105">
        <v>25</v>
      </c>
      <c r="AW105">
        <v>37</v>
      </c>
      <c r="AX105" t="s">
        <v>74</v>
      </c>
      <c r="AY105" t="s">
        <v>74</v>
      </c>
      <c r="AZ105" t="s">
        <v>74</v>
      </c>
      <c r="BA105" t="s">
        <v>74</v>
      </c>
      <c r="BB105">
        <v>13748</v>
      </c>
      <c r="BC105">
        <v>13755</v>
      </c>
      <c r="BD105" t="s">
        <v>74</v>
      </c>
      <c r="BE105" t="s">
        <v>2290</v>
      </c>
      <c r="BF105" t="str">
        <f>HYPERLINK("http://dx.doi.org/10.1021/acs.nanolett.5c02961","http://dx.doi.org/10.1021/acs.nanolett.5c02961")</f>
        <v>http://dx.doi.org/10.1021/acs.nanolett.5c02961</v>
      </c>
      <c r="BG105" t="s">
        <v>74</v>
      </c>
      <c r="BH105" t="s">
        <v>256</v>
      </c>
      <c r="BI105">
        <v>8</v>
      </c>
      <c r="BJ105" t="s">
        <v>605</v>
      </c>
      <c r="BK105" t="s">
        <v>103</v>
      </c>
      <c r="BL105" t="s">
        <v>606</v>
      </c>
      <c r="BM105" t="s">
        <v>2291</v>
      </c>
      <c r="BN105">
        <v>40891915</v>
      </c>
      <c r="BO105" t="s">
        <v>74</v>
      </c>
      <c r="BP105" t="s">
        <v>74</v>
      </c>
      <c r="BQ105" t="s">
        <v>74</v>
      </c>
      <c r="BR105" t="s">
        <v>106</v>
      </c>
      <c r="BS105" t="s">
        <v>2292</v>
      </c>
      <c r="BT105" t="str">
        <f>HYPERLINK("https%3A%2F%2Fwww.webofscience.com%2Fwos%2Fwoscc%2Ffull-record%2FWOS:001565580500001","View Full Record in Web of Science")</f>
        <v>View Full Record in Web of Science</v>
      </c>
    </row>
    <row r="106" spans="1:72" x14ac:dyDescent="0.15">
      <c r="A106" t="s">
        <v>72</v>
      </c>
      <c r="B106" t="s">
        <v>2293</v>
      </c>
      <c r="C106" t="s">
        <v>74</v>
      </c>
      <c r="D106" t="s">
        <v>74</v>
      </c>
      <c r="E106" t="s">
        <v>74</v>
      </c>
      <c r="F106" t="s">
        <v>2294</v>
      </c>
      <c r="G106" t="s">
        <v>74</v>
      </c>
      <c r="H106" t="s">
        <v>74</v>
      </c>
      <c r="I106" t="s">
        <v>2295</v>
      </c>
      <c r="J106" t="s">
        <v>479</v>
      </c>
      <c r="K106" t="s">
        <v>74</v>
      </c>
      <c r="L106" t="s">
        <v>74</v>
      </c>
      <c r="M106" t="s">
        <v>78</v>
      </c>
      <c r="N106" t="s">
        <v>79</v>
      </c>
      <c r="O106" t="s">
        <v>74</v>
      </c>
      <c r="P106" t="s">
        <v>74</v>
      </c>
      <c r="Q106" t="s">
        <v>74</v>
      </c>
      <c r="R106" t="s">
        <v>74</v>
      </c>
      <c r="S106" t="s">
        <v>74</v>
      </c>
      <c r="T106" t="s">
        <v>74</v>
      </c>
      <c r="U106" t="s">
        <v>2296</v>
      </c>
      <c r="V106" t="s">
        <v>2297</v>
      </c>
      <c r="W106" t="s">
        <v>2298</v>
      </c>
      <c r="X106" t="s">
        <v>1326</v>
      </c>
      <c r="Y106" t="s">
        <v>2299</v>
      </c>
      <c r="Z106" t="s">
        <v>1677</v>
      </c>
      <c r="AA106" t="s">
        <v>2300</v>
      </c>
      <c r="AB106" t="s">
        <v>2301</v>
      </c>
      <c r="AC106" t="s">
        <v>2302</v>
      </c>
      <c r="AD106" t="s">
        <v>2303</v>
      </c>
      <c r="AE106" t="s">
        <v>2304</v>
      </c>
      <c r="AF106" t="s">
        <v>74</v>
      </c>
      <c r="AG106">
        <v>84</v>
      </c>
      <c r="AH106">
        <v>0</v>
      </c>
      <c r="AI106">
        <v>0</v>
      </c>
      <c r="AJ106">
        <v>0</v>
      </c>
      <c r="AK106">
        <v>4</v>
      </c>
      <c r="AL106" t="s">
        <v>491</v>
      </c>
      <c r="AM106" t="s">
        <v>124</v>
      </c>
      <c r="AN106" t="s">
        <v>492</v>
      </c>
      <c r="AO106" t="s">
        <v>493</v>
      </c>
      <c r="AP106" t="s">
        <v>494</v>
      </c>
      <c r="AQ106" t="s">
        <v>74</v>
      </c>
      <c r="AR106" t="s">
        <v>479</v>
      </c>
      <c r="AS106" t="s">
        <v>495</v>
      </c>
      <c r="AT106" t="s">
        <v>444</v>
      </c>
      <c r="AU106">
        <v>2025</v>
      </c>
      <c r="AV106">
        <v>21</v>
      </c>
      <c r="AW106">
        <v>31</v>
      </c>
      <c r="AX106" t="s">
        <v>74</v>
      </c>
      <c r="AY106" t="s">
        <v>74</v>
      </c>
      <c r="AZ106" t="s">
        <v>74</v>
      </c>
      <c r="BA106" t="s">
        <v>74</v>
      </c>
      <c r="BB106">
        <v>6274</v>
      </c>
      <c r="BC106">
        <v>6286</v>
      </c>
      <c r="BD106" t="s">
        <v>74</v>
      </c>
      <c r="BE106" t="s">
        <v>2305</v>
      </c>
      <c r="BF106" t="str">
        <f>HYPERLINK("http://dx.doi.org/10.1039/d5sm00423c","http://dx.doi.org/10.1039/d5sm00423c")</f>
        <v>http://dx.doi.org/10.1039/d5sm00423c</v>
      </c>
      <c r="BG106" t="s">
        <v>74</v>
      </c>
      <c r="BH106" t="s">
        <v>342</v>
      </c>
      <c r="BI106">
        <v>13</v>
      </c>
      <c r="BJ106" t="s">
        <v>499</v>
      </c>
      <c r="BK106" t="s">
        <v>103</v>
      </c>
      <c r="BL106" t="s">
        <v>500</v>
      </c>
      <c r="BM106" t="s">
        <v>2306</v>
      </c>
      <c r="BN106">
        <v>40698386</v>
      </c>
      <c r="BO106" t="s">
        <v>344</v>
      </c>
      <c r="BP106" t="s">
        <v>74</v>
      </c>
      <c r="BQ106" t="s">
        <v>74</v>
      </c>
      <c r="BR106" t="s">
        <v>106</v>
      </c>
      <c r="BS106" t="s">
        <v>2307</v>
      </c>
      <c r="BT106" t="str">
        <f>HYPERLINK("https%3A%2F%2Fwww.webofscience.com%2Fwos%2Fwoscc%2Ffull-record%2FWOS:001534082800001","View Full Record in Web of Science")</f>
        <v>View Full Record in Web of Science</v>
      </c>
    </row>
    <row r="107" spans="1:72" x14ac:dyDescent="0.15">
      <c r="A107" t="s">
        <v>72</v>
      </c>
      <c r="B107" t="s">
        <v>2239</v>
      </c>
      <c r="C107" t="s">
        <v>74</v>
      </c>
      <c r="D107" t="s">
        <v>74</v>
      </c>
      <c r="E107" t="s">
        <v>74</v>
      </c>
      <c r="F107" t="s">
        <v>2240</v>
      </c>
      <c r="G107" t="s">
        <v>74</v>
      </c>
      <c r="H107" t="s">
        <v>74</v>
      </c>
      <c r="I107" t="s">
        <v>2308</v>
      </c>
      <c r="J107" t="s">
        <v>563</v>
      </c>
      <c r="K107" t="s">
        <v>74</v>
      </c>
      <c r="L107" t="s">
        <v>74</v>
      </c>
      <c r="M107" t="s">
        <v>78</v>
      </c>
      <c r="N107" t="s">
        <v>79</v>
      </c>
      <c r="O107" t="s">
        <v>74</v>
      </c>
      <c r="P107" t="s">
        <v>74</v>
      </c>
      <c r="Q107" t="s">
        <v>74</v>
      </c>
      <c r="R107" t="s">
        <v>74</v>
      </c>
      <c r="S107" t="s">
        <v>74</v>
      </c>
      <c r="T107" t="s">
        <v>74</v>
      </c>
      <c r="U107" t="s">
        <v>2309</v>
      </c>
      <c r="V107" t="s">
        <v>2310</v>
      </c>
      <c r="W107" t="s">
        <v>2311</v>
      </c>
      <c r="X107" t="s">
        <v>2245</v>
      </c>
      <c r="Y107" t="s">
        <v>2312</v>
      </c>
      <c r="Z107" t="s">
        <v>1677</v>
      </c>
      <c r="AA107" t="s">
        <v>2246</v>
      </c>
      <c r="AB107" t="s">
        <v>2313</v>
      </c>
      <c r="AC107" t="s">
        <v>2314</v>
      </c>
      <c r="AD107" t="s">
        <v>2315</v>
      </c>
      <c r="AE107" t="s">
        <v>2316</v>
      </c>
      <c r="AF107" t="s">
        <v>74</v>
      </c>
      <c r="AG107">
        <v>83</v>
      </c>
      <c r="AH107">
        <v>8</v>
      </c>
      <c r="AI107">
        <v>9</v>
      </c>
      <c r="AJ107">
        <v>4</v>
      </c>
      <c r="AK107">
        <v>41</v>
      </c>
      <c r="AL107" t="s">
        <v>152</v>
      </c>
      <c r="AM107" t="s">
        <v>153</v>
      </c>
      <c r="AN107" t="s">
        <v>154</v>
      </c>
      <c r="AO107" t="s">
        <v>575</v>
      </c>
      <c r="AP107" t="s">
        <v>576</v>
      </c>
      <c r="AQ107" t="s">
        <v>74</v>
      </c>
      <c r="AR107" t="s">
        <v>577</v>
      </c>
      <c r="AS107" t="s">
        <v>578</v>
      </c>
      <c r="AT107" t="s">
        <v>2317</v>
      </c>
      <c r="AU107">
        <v>2024</v>
      </c>
      <c r="AV107">
        <v>36</v>
      </c>
      <c r="AW107">
        <v>16</v>
      </c>
      <c r="AX107" t="s">
        <v>74</v>
      </c>
      <c r="AY107" t="s">
        <v>74</v>
      </c>
      <c r="AZ107" t="s">
        <v>74</v>
      </c>
      <c r="BA107" t="s">
        <v>74</v>
      </c>
      <c r="BB107">
        <v>7843</v>
      </c>
      <c r="BC107">
        <v>7856</v>
      </c>
      <c r="BD107" t="s">
        <v>74</v>
      </c>
      <c r="BE107" t="s">
        <v>2318</v>
      </c>
      <c r="BF107" t="str">
        <f>HYPERLINK("http://dx.doi.org/10.1021/acs.chemmater.4c01192","http://dx.doi.org/10.1021/acs.chemmater.4c01192")</f>
        <v>http://dx.doi.org/10.1021/acs.chemmater.4c01192</v>
      </c>
      <c r="BG107" t="s">
        <v>74</v>
      </c>
      <c r="BH107" t="s">
        <v>788</v>
      </c>
      <c r="BI107">
        <v>14</v>
      </c>
      <c r="BJ107" t="s">
        <v>581</v>
      </c>
      <c r="BK107" t="s">
        <v>103</v>
      </c>
      <c r="BL107" t="s">
        <v>189</v>
      </c>
      <c r="BM107" t="s">
        <v>2319</v>
      </c>
      <c r="BN107" t="s">
        <v>74</v>
      </c>
      <c r="BO107" t="s">
        <v>74</v>
      </c>
      <c r="BP107" t="s">
        <v>74</v>
      </c>
      <c r="BQ107" t="s">
        <v>74</v>
      </c>
      <c r="BR107" t="s">
        <v>106</v>
      </c>
      <c r="BS107" t="s">
        <v>2320</v>
      </c>
      <c r="BT107" t="str">
        <f>HYPERLINK("https%3A%2F%2Fwww.webofscience.com%2Fwos%2Fwoscc%2Ffull-record%2FWOS:001286270200001","View Full Record in Web of Science")</f>
        <v>View Full Record in Web of Science</v>
      </c>
    </row>
    <row r="108" spans="1:72" x14ac:dyDescent="0.15">
      <c r="A108" t="s">
        <v>72</v>
      </c>
      <c r="B108" t="s">
        <v>2321</v>
      </c>
      <c r="C108" t="s">
        <v>74</v>
      </c>
      <c r="D108" t="s">
        <v>74</v>
      </c>
      <c r="E108" t="s">
        <v>74</v>
      </c>
      <c r="F108" t="s">
        <v>2322</v>
      </c>
      <c r="G108" t="s">
        <v>74</v>
      </c>
      <c r="H108" t="s">
        <v>74</v>
      </c>
      <c r="I108" t="s">
        <v>2323</v>
      </c>
      <c r="J108" t="s">
        <v>773</v>
      </c>
      <c r="K108" t="s">
        <v>74</v>
      </c>
      <c r="L108" t="s">
        <v>74</v>
      </c>
      <c r="M108" t="s">
        <v>78</v>
      </c>
      <c r="N108" t="s">
        <v>79</v>
      </c>
      <c r="O108" t="s">
        <v>74</v>
      </c>
      <c r="P108" t="s">
        <v>74</v>
      </c>
      <c r="Q108" t="s">
        <v>74</v>
      </c>
      <c r="R108" t="s">
        <v>74</v>
      </c>
      <c r="S108" t="s">
        <v>74</v>
      </c>
      <c r="T108" t="s">
        <v>74</v>
      </c>
      <c r="U108" t="s">
        <v>2324</v>
      </c>
      <c r="V108" t="s">
        <v>2325</v>
      </c>
      <c r="W108" t="s">
        <v>2326</v>
      </c>
      <c r="X108" t="s">
        <v>145</v>
      </c>
      <c r="Y108" t="s">
        <v>2312</v>
      </c>
      <c r="Z108" t="s">
        <v>1677</v>
      </c>
      <c r="AA108" t="s">
        <v>1312</v>
      </c>
      <c r="AB108" t="s">
        <v>2327</v>
      </c>
      <c r="AC108" t="s">
        <v>2328</v>
      </c>
      <c r="AD108" t="s">
        <v>2329</v>
      </c>
      <c r="AE108" t="s">
        <v>2330</v>
      </c>
      <c r="AF108" t="s">
        <v>74</v>
      </c>
      <c r="AG108">
        <v>43</v>
      </c>
      <c r="AH108">
        <v>2</v>
      </c>
      <c r="AI108">
        <v>2</v>
      </c>
      <c r="AJ108">
        <v>1</v>
      </c>
      <c r="AK108">
        <v>8</v>
      </c>
      <c r="AL108" t="s">
        <v>152</v>
      </c>
      <c r="AM108" t="s">
        <v>153</v>
      </c>
      <c r="AN108" t="s">
        <v>154</v>
      </c>
      <c r="AO108" t="s">
        <v>74</v>
      </c>
      <c r="AP108" t="s">
        <v>783</v>
      </c>
      <c r="AQ108" t="s">
        <v>74</v>
      </c>
      <c r="AR108" t="s">
        <v>784</v>
      </c>
      <c r="AS108" t="s">
        <v>785</v>
      </c>
      <c r="AT108" t="s">
        <v>1274</v>
      </c>
      <c r="AU108">
        <v>2024</v>
      </c>
      <c r="AV108">
        <v>13</v>
      </c>
      <c r="AW108">
        <v>11</v>
      </c>
      <c r="AX108" t="s">
        <v>74</v>
      </c>
      <c r="AY108" t="s">
        <v>74</v>
      </c>
      <c r="AZ108" t="s">
        <v>74</v>
      </c>
      <c r="BA108" t="s">
        <v>74</v>
      </c>
      <c r="BB108">
        <v>1577</v>
      </c>
      <c r="BC108">
        <v>1583</v>
      </c>
      <c r="BD108" t="s">
        <v>74</v>
      </c>
      <c r="BE108" t="s">
        <v>2331</v>
      </c>
      <c r="BF108" t="str">
        <f>HYPERLINK("http://dx.doi.org/10.1021/acsmacrolett.4c00555","http://dx.doi.org/10.1021/acsmacrolett.4c00555")</f>
        <v>http://dx.doi.org/10.1021/acsmacrolett.4c00555</v>
      </c>
      <c r="BG108" t="s">
        <v>74</v>
      </c>
      <c r="BH108" t="s">
        <v>554</v>
      </c>
      <c r="BI108">
        <v>7</v>
      </c>
      <c r="BJ108" t="s">
        <v>102</v>
      </c>
      <c r="BK108" t="s">
        <v>103</v>
      </c>
      <c r="BL108" t="s">
        <v>102</v>
      </c>
      <c r="BM108" t="s">
        <v>2332</v>
      </c>
      <c r="BN108">
        <v>39496071</v>
      </c>
      <c r="BO108" t="s">
        <v>74</v>
      </c>
      <c r="BP108" t="s">
        <v>74</v>
      </c>
      <c r="BQ108" t="s">
        <v>74</v>
      </c>
      <c r="BR108" t="s">
        <v>106</v>
      </c>
      <c r="BS108" t="s">
        <v>2333</v>
      </c>
      <c r="BT108" t="str">
        <f>HYPERLINK("https%3A%2F%2Fwww.webofscience.com%2Fwos%2Fwoscc%2Ffull-record%2FWOS:001347582500001","View Full Record in Web of Science")</f>
        <v>View Full Record in Web of Science</v>
      </c>
    </row>
    <row r="109" spans="1:72" x14ac:dyDescent="0.15">
      <c r="A109" t="s">
        <v>72</v>
      </c>
      <c r="B109" t="s">
        <v>2334</v>
      </c>
      <c r="C109" t="s">
        <v>74</v>
      </c>
      <c r="D109" t="s">
        <v>74</v>
      </c>
      <c r="E109" t="s">
        <v>74</v>
      </c>
      <c r="F109" t="s">
        <v>2335</v>
      </c>
      <c r="G109" t="s">
        <v>74</v>
      </c>
      <c r="H109" t="s">
        <v>74</v>
      </c>
      <c r="I109" t="s">
        <v>2336</v>
      </c>
      <c r="J109" t="s">
        <v>1422</v>
      </c>
      <c r="K109" t="s">
        <v>74</v>
      </c>
      <c r="L109" t="s">
        <v>74</v>
      </c>
      <c r="M109" t="s">
        <v>78</v>
      </c>
      <c r="N109" t="s">
        <v>79</v>
      </c>
      <c r="O109" t="s">
        <v>74</v>
      </c>
      <c r="P109" t="s">
        <v>74</v>
      </c>
      <c r="Q109" t="s">
        <v>74</v>
      </c>
      <c r="R109" t="s">
        <v>74</v>
      </c>
      <c r="S109" t="s">
        <v>74</v>
      </c>
      <c r="T109" t="s">
        <v>2337</v>
      </c>
      <c r="U109" t="s">
        <v>2338</v>
      </c>
      <c r="V109" t="s">
        <v>2339</v>
      </c>
      <c r="W109" t="s">
        <v>2340</v>
      </c>
      <c r="X109" t="s">
        <v>2341</v>
      </c>
      <c r="Y109" t="s">
        <v>2080</v>
      </c>
      <c r="Z109" t="s">
        <v>1107</v>
      </c>
      <c r="AA109" t="s">
        <v>2342</v>
      </c>
      <c r="AB109" t="s">
        <v>2343</v>
      </c>
      <c r="AC109" t="s">
        <v>2344</v>
      </c>
      <c r="AD109" t="s">
        <v>2345</v>
      </c>
      <c r="AE109" t="s">
        <v>2346</v>
      </c>
      <c r="AF109" t="s">
        <v>74</v>
      </c>
      <c r="AG109">
        <v>44</v>
      </c>
      <c r="AH109">
        <v>22</v>
      </c>
      <c r="AI109">
        <v>22</v>
      </c>
      <c r="AJ109">
        <v>4</v>
      </c>
      <c r="AK109">
        <v>30</v>
      </c>
      <c r="AL109" t="s">
        <v>152</v>
      </c>
      <c r="AM109" t="s">
        <v>153</v>
      </c>
      <c r="AN109" t="s">
        <v>154</v>
      </c>
      <c r="AO109" t="s">
        <v>1433</v>
      </c>
      <c r="AP109" t="s">
        <v>1434</v>
      </c>
      <c r="AQ109" t="s">
        <v>74</v>
      </c>
      <c r="AR109" t="s">
        <v>1422</v>
      </c>
      <c r="AS109" t="s">
        <v>1435</v>
      </c>
      <c r="AT109" t="s">
        <v>2347</v>
      </c>
      <c r="AU109">
        <v>2024</v>
      </c>
      <c r="AV109">
        <v>18</v>
      </c>
      <c r="AW109">
        <v>37</v>
      </c>
      <c r="AX109" t="s">
        <v>74</v>
      </c>
      <c r="AY109" t="s">
        <v>74</v>
      </c>
      <c r="AZ109" t="s">
        <v>74</v>
      </c>
      <c r="BA109" t="s">
        <v>74</v>
      </c>
      <c r="BB109">
        <v>25489</v>
      </c>
      <c r="BC109">
        <v>25498</v>
      </c>
      <c r="BD109" t="s">
        <v>74</v>
      </c>
      <c r="BE109" t="s">
        <v>2348</v>
      </c>
      <c r="BF109" t="str">
        <f>HYPERLINK("http://dx.doi.org/10.1021/acsnano.4c05043","http://dx.doi.org/10.1021/acsnano.4c05043")</f>
        <v>http://dx.doi.org/10.1021/acsnano.4c05043</v>
      </c>
      <c r="BG109" t="s">
        <v>74</v>
      </c>
      <c r="BH109" t="s">
        <v>788</v>
      </c>
      <c r="BI109">
        <v>10</v>
      </c>
      <c r="BJ109" t="s">
        <v>1438</v>
      </c>
      <c r="BK109" t="s">
        <v>103</v>
      </c>
      <c r="BL109" t="s">
        <v>556</v>
      </c>
      <c r="BM109" t="s">
        <v>2349</v>
      </c>
      <c r="BN109">
        <v>39215393</v>
      </c>
      <c r="BO109" t="s">
        <v>74</v>
      </c>
      <c r="BP109" t="s">
        <v>74</v>
      </c>
      <c r="BQ109" t="s">
        <v>74</v>
      </c>
      <c r="BR109" t="s">
        <v>106</v>
      </c>
      <c r="BS109" t="s">
        <v>2350</v>
      </c>
      <c r="BT109" t="str">
        <f>HYPERLINK("https%3A%2F%2Fwww.webofscience.com%2Fwos%2Fwoscc%2Ffull-record%2FWOS:001302861000001","View Full Record in Web of Science")</f>
        <v>View Full Record in Web of Science</v>
      </c>
    </row>
    <row r="110" spans="1:72" x14ac:dyDescent="0.15">
      <c r="A110" t="s">
        <v>72</v>
      </c>
      <c r="B110" t="s">
        <v>2351</v>
      </c>
      <c r="C110" t="s">
        <v>74</v>
      </c>
      <c r="D110" t="s">
        <v>74</v>
      </c>
      <c r="E110" t="s">
        <v>74</v>
      </c>
      <c r="F110" t="s">
        <v>2352</v>
      </c>
      <c r="G110" t="s">
        <v>74</v>
      </c>
      <c r="H110" t="s">
        <v>74</v>
      </c>
      <c r="I110" t="s">
        <v>2353</v>
      </c>
      <c r="J110" t="s">
        <v>2017</v>
      </c>
      <c r="K110" t="s">
        <v>74</v>
      </c>
      <c r="L110" t="s">
        <v>74</v>
      </c>
      <c r="M110" t="s">
        <v>78</v>
      </c>
      <c r="N110" t="s">
        <v>79</v>
      </c>
      <c r="O110" t="s">
        <v>74</v>
      </c>
      <c r="P110" t="s">
        <v>74</v>
      </c>
      <c r="Q110" t="s">
        <v>74</v>
      </c>
      <c r="R110" t="s">
        <v>74</v>
      </c>
      <c r="S110" t="s">
        <v>74</v>
      </c>
      <c r="T110" t="s">
        <v>2354</v>
      </c>
      <c r="U110" t="s">
        <v>2355</v>
      </c>
      <c r="V110" t="s">
        <v>2356</v>
      </c>
      <c r="W110" t="s">
        <v>2357</v>
      </c>
      <c r="X110" t="s">
        <v>2358</v>
      </c>
      <c r="Y110" t="s">
        <v>2359</v>
      </c>
      <c r="Z110" t="s">
        <v>2360</v>
      </c>
      <c r="AA110" t="s">
        <v>2361</v>
      </c>
      <c r="AB110" t="s">
        <v>2362</v>
      </c>
      <c r="AC110" t="s">
        <v>2363</v>
      </c>
      <c r="AD110" t="s">
        <v>2364</v>
      </c>
      <c r="AE110" t="s">
        <v>2365</v>
      </c>
      <c r="AF110" t="s">
        <v>74</v>
      </c>
      <c r="AG110">
        <v>41</v>
      </c>
      <c r="AH110">
        <v>9</v>
      </c>
      <c r="AI110">
        <v>10</v>
      </c>
      <c r="AJ110">
        <v>3</v>
      </c>
      <c r="AK110">
        <v>19</v>
      </c>
      <c r="AL110" t="s">
        <v>152</v>
      </c>
      <c r="AM110" t="s">
        <v>153</v>
      </c>
      <c r="AN110" t="s">
        <v>154</v>
      </c>
      <c r="AO110" t="s">
        <v>2029</v>
      </c>
      <c r="AP110" t="s">
        <v>2030</v>
      </c>
      <c r="AQ110" t="s">
        <v>74</v>
      </c>
      <c r="AR110" t="s">
        <v>2031</v>
      </c>
      <c r="AS110" t="s">
        <v>2032</v>
      </c>
      <c r="AT110" t="s">
        <v>2366</v>
      </c>
      <c r="AU110">
        <v>2024</v>
      </c>
      <c r="AV110">
        <v>24</v>
      </c>
      <c r="AW110">
        <v>18</v>
      </c>
      <c r="AX110" t="s">
        <v>74</v>
      </c>
      <c r="AY110" t="s">
        <v>74</v>
      </c>
      <c r="AZ110" t="s">
        <v>74</v>
      </c>
      <c r="BA110" t="s">
        <v>74</v>
      </c>
      <c r="BB110">
        <v>5436</v>
      </c>
      <c r="BC110">
        <v>5443</v>
      </c>
      <c r="BD110" t="s">
        <v>74</v>
      </c>
      <c r="BE110" t="s">
        <v>2367</v>
      </c>
      <c r="BF110" t="str">
        <f>HYPERLINK("http://dx.doi.org/10.1021/acs.nanolett.4c00358","http://dx.doi.org/10.1021/acs.nanolett.4c00358")</f>
        <v>http://dx.doi.org/10.1021/acs.nanolett.4c00358</v>
      </c>
      <c r="BG110" t="s">
        <v>74</v>
      </c>
      <c r="BH110" t="s">
        <v>712</v>
      </c>
      <c r="BI110">
        <v>8</v>
      </c>
      <c r="BJ110" t="s">
        <v>605</v>
      </c>
      <c r="BK110" t="s">
        <v>103</v>
      </c>
      <c r="BL110" t="s">
        <v>606</v>
      </c>
      <c r="BM110" t="s">
        <v>2368</v>
      </c>
      <c r="BN110">
        <v>38656103</v>
      </c>
      <c r="BO110" t="s">
        <v>74</v>
      </c>
      <c r="BP110" t="s">
        <v>74</v>
      </c>
      <c r="BQ110" t="s">
        <v>74</v>
      </c>
      <c r="BR110" t="s">
        <v>106</v>
      </c>
      <c r="BS110" t="s">
        <v>2369</v>
      </c>
      <c r="BT110" t="str">
        <f>HYPERLINK("https%3A%2F%2Fwww.webofscience.com%2Fwos%2Fwoscc%2Ffull-record%2FWOS:001228022400001","View Full Record in Web of Science")</f>
        <v>View Full Record in Web of Science</v>
      </c>
    </row>
    <row r="111" spans="1:72" x14ac:dyDescent="0.15">
      <c r="A111" t="s">
        <v>72</v>
      </c>
      <c r="B111" t="s">
        <v>2370</v>
      </c>
      <c r="C111" t="s">
        <v>74</v>
      </c>
      <c r="D111" t="s">
        <v>74</v>
      </c>
      <c r="E111" t="s">
        <v>74</v>
      </c>
      <c r="F111" t="s">
        <v>2371</v>
      </c>
      <c r="G111" t="s">
        <v>74</v>
      </c>
      <c r="H111" t="s">
        <v>74</v>
      </c>
      <c r="I111" t="s">
        <v>2372</v>
      </c>
      <c r="J111" t="s">
        <v>587</v>
      </c>
      <c r="K111" t="s">
        <v>74</v>
      </c>
      <c r="L111" t="s">
        <v>74</v>
      </c>
      <c r="M111" t="s">
        <v>78</v>
      </c>
      <c r="N111" t="s">
        <v>588</v>
      </c>
      <c r="O111" t="s">
        <v>74</v>
      </c>
      <c r="P111" t="s">
        <v>74</v>
      </c>
      <c r="Q111" t="s">
        <v>74</v>
      </c>
      <c r="R111" t="s">
        <v>74</v>
      </c>
      <c r="S111" t="s">
        <v>74</v>
      </c>
      <c r="T111" t="s">
        <v>2373</v>
      </c>
      <c r="U111" t="s">
        <v>2374</v>
      </c>
      <c r="V111" t="s">
        <v>2375</v>
      </c>
      <c r="W111" t="s">
        <v>2376</v>
      </c>
      <c r="X111" t="s">
        <v>2377</v>
      </c>
      <c r="Y111" t="s">
        <v>2378</v>
      </c>
      <c r="Z111" t="s">
        <v>2379</v>
      </c>
      <c r="AA111" t="s">
        <v>2380</v>
      </c>
      <c r="AB111" t="s">
        <v>2381</v>
      </c>
      <c r="AC111" t="s">
        <v>2382</v>
      </c>
      <c r="AD111" t="s">
        <v>2383</v>
      </c>
      <c r="AE111" t="s">
        <v>2384</v>
      </c>
      <c r="AF111" t="s">
        <v>74</v>
      </c>
      <c r="AG111">
        <v>72</v>
      </c>
      <c r="AH111">
        <v>0</v>
      </c>
      <c r="AI111">
        <v>0</v>
      </c>
      <c r="AJ111">
        <v>1</v>
      </c>
      <c r="AK111">
        <v>1</v>
      </c>
      <c r="AL111" t="s">
        <v>179</v>
      </c>
      <c r="AM111" t="s">
        <v>180</v>
      </c>
      <c r="AN111" t="s">
        <v>181</v>
      </c>
      <c r="AO111" t="s">
        <v>598</v>
      </c>
      <c r="AP111" t="s">
        <v>599</v>
      </c>
      <c r="AQ111" t="s">
        <v>74</v>
      </c>
      <c r="AR111" t="s">
        <v>600</v>
      </c>
      <c r="AS111" t="s">
        <v>601</v>
      </c>
      <c r="AT111" t="s">
        <v>2385</v>
      </c>
      <c r="AU111">
        <v>2026</v>
      </c>
      <c r="AV111" t="s">
        <v>74</v>
      </c>
      <c r="AW111" t="s">
        <v>74</v>
      </c>
      <c r="AX111" t="s">
        <v>74</v>
      </c>
      <c r="AY111" t="s">
        <v>74</v>
      </c>
      <c r="AZ111" t="s">
        <v>74</v>
      </c>
      <c r="BA111" t="s">
        <v>74</v>
      </c>
      <c r="BB111" t="s">
        <v>74</v>
      </c>
      <c r="BC111" t="s">
        <v>74</v>
      </c>
      <c r="BD111" t="s">
        <v>74</v>
      </c>
      <c r="BE111" t="s">
        <v>2386</v>
      </c>
      <c r="BF111" t="str">
        <f>HYPERLINK("http://dx.doi.org/10.1002/adma.202518525","http://dx.doi.org/10.1002/adma.202518525")</f>
        <v>http://dx.doi.org/10.1002/adma.202518525</v>
      </c>
      <c r="BG111" t="s">
        <v>74</v>
      </c>
      <c r="BH111" t="s">
        <v>604</v>
      </c>
      <c r="BI111">
        <v>17</v>
      </c>
      <c r="BJ111" t="s">
        <v>605</v>
      </c>
      <c r="BK111" t="s">
        <v>103</v>
      </c>
      <c r="BL111" t="s">
        <v>606</v>
      </c>
      <c r="BM111" t="s">
        <v>2387</v>
      </c>
      <c r="BN111">
        <v>42011809</v>
      </c>
      <c r="BO111" t="s">
        <v>344</v>
      </c>
      <c r="BP111" t="s">
        <v>74</v>
      </c>
      <c r="BQ111" t="s">
        <v>74</v>
      </c>
      <c r="BR111" t="s">
        <v>106</v>
      </c>
      <c r="BS111" t="s">
        <v>2388</v>
      </c>
      <c r="BT111" t="str">
        <f>HYPERLINK("https%3A%2F%2Fwww.webofscience.com%2Fwos%2Fwoscc%2Ffull-record%2FWOS:001744939400001","View Full Record in Web of Science")</f>
        <v>View Full Record in Web of Science</v>
      </c>
    </row>
    <row r="112" spans="1:72" x14ac:dyDescent="0.15">
      <c r="A112" t="s">
        <v>72</v>
      </c>
      <c r="B112" t="s">
        <v>2389</v>
      </c>
      <c r="C112" t="s">
        <v>74</v>
      </c>
      <c r="D112" t="s">
        <v>74</v>
      </c>
      <c r="E112" t="s">
        <v>74</v>
      </c>
      <c r="F112" t="s">
        <v>2390</v>
      </c>
      <c r="G112" t="s">
        <v>74</v>
      </c>
      <c r="H112" t="s">
        <v>74</v>
      </c>
      <c r="I112" t="s">
        <v>2391</v>
      </c>
      <c r="J112" t="s">
        <v>2392</v>
      </c>
      <c r="K112" t="s">
        <v>74</v>
      </c>
      <c r="L112" t="s">
        <v>74</v>
      </c>
      <c r="M112" t="s">
        <v>78</v>
      </c>
      <c r="N112" t="s">
        <v>79</v>
      </c>
      <c r="O112" t="s">
        <v>74</v>
      </c>
      <c r="P112" t="s">
        <v>74</v>
      </c>
      <c r="Q112" t="s">
        <v>74</v>
      </c>
      <c r="R112" t="s">
        <v>74</v>
      </c>
      <c r="S112" t="s">
        <v>74</v>
      </c>
      <c r="T112" t="s">
        <v>74</v>
      </c>
      <c r="U112" t="s">
        <v>2393</v>
      </c>
      <c r="V112" t="s">
        <v>2394</v>
      </c>
      <c r="W112" t="s">
        <v>2395</v>
      </c>
      <c r="X112" t="s">
        <v>2396</v>
      </c>
      <c r="Y112" t="s">
        <v>2397</v>
      </c>
      <c r="Z112" t="s">
        <v>2398</v>
      </c>
      <c r="AA112" t="s">
        <v>2399</v>
      </c>
      <c r="AB112" t="s">
        <v>2400</v>
      </c>
      <c r="AC112" t="s">
        <v>2401</v>
      </c>
      <c r="AD112" t="s">
        <v>2402</v>
      </c>
      <c r="AE112" t="s">
        <v>2403</v>
      </c>
      <c r="AF112" t="s">
        <v>74</v>
      </c>
      <c r="AG112">
        <v>47</v>
      </c>
      <c r="AH112">
        <v>24</v>
      </c>
      <c r="AI112">
        <v>28</v>
      </c>
      <c r="AJ112">
        <v>11</v>
      </c>
      <c r="AK112">
        <v>69</v>
      </c>
      <c r="AL112" t="s">
        <v>292</v>
      </c>
      <c r="AM112" t="s">
        <v>293</v>
      </c>
      <c r="AN112" t="s">
        <v>294</v>
      </c>
      <c r="AO112" t="s">
        <v>2404</v>
      </c>
      <c r="AP112" t="s">
        <v>2405</v>
      </c>
      <c r="AQ112" t="s">
        <v>74</v>
      </c>
      <c r="AR112" t="s">
        <v>2392</v>
      </c>
      <c r="AS112" t="s">
        <v>2406</v>
      </c>
      <c r="AT112" t="s">
        <v>2235</v>
      </c>
      <c r="AU112">
        <v>2024</v>
      </c>
      <c r="AV112">
        <v>635</v>
      </c>
      <c r="AW112">
        <v>8040</v>
      </c>
      <c r="AX112" t="s">
        <v>74</v>
      </c>
      <c r="AY112" t="s">
        <v>74</v>
      </c>
      <c r="AZ112" t="s">
        <v>74</v>
      </c>
      <c r="BA112" t="s">
        <v>74</v>
      </c>
      <c r="BB112" t="s">
        <v>74</v>
      </c>
      <c r="BC112" t="s">
        <v>74</v>
      </c>
      <c r="BD112" t="s">
        <v>74</v>
      </c>
      <c r="BE112" t="s">
        <v>2407</v>
      </c>
      <c r="BF112" t="str">
        <f>HYPERLINK("http://dx.doi.org/10.1038/s41586-024-08156-8","http://dx.doi.org/10.1038/s41586-024-08156-8")</f>
        <v>http://dx.doi.org/10.1038/s41586-024-08156-8</v>
      </c>
      <c r="BG112" t="s">
        <v>74</v>
      </c>
      <c r="BH112" t="s">
        <v>554</v>
      </c>
      <c r="BI112">
        <v>10</v>
      </c>
      <c r="BJ112" t="s">
        <v>300</v>
      </c>
      <c r="BK112" t="s">
        <v>103</v>
      </c>
      <c r="BL112" t="s">
        <v>301</v>
      </c>
      <c r="BM112" t="s">
        <v>2408</v>
      </c>
      <c r="BN112">
        <v>39506123</v>
      </c>
      <c r="BO112" t="s">
        <v>74</v>
      </c>
      <c r="BP112" t="s">
        <v>74</v>
      </c>
      <c r="BQ112" t="s">
        <v>74</v>
      </c>
      <c r="BR112" t="s">
        <v>106</v>
      </c>
      <c r="BS112" t="s">
        <v>2409</v>
      </c>
      <c r="BT112" t="str">
        <f>HYPERLINK("https%3A%2F%2Fwww.webofscience.com%2Fwos%2Fwoscc%2Ffull-record%2FWOS:001349703300004","View Full Record in Web of Science")</f>
        <v>View Full Record in Web of Science</v>
      </c>
    </row>
    <row r="113" spans="1:72" x14ac:dyDescent="0.15">
      <c r="A113" t="s">
        <v>72</v>
      </c>
      <c r="B113" t="s">
        <v>2410</v>
      </c>
      <c r="C113" t="s">
        <v>74</v>
      </c>
      <c r="D113" t="s">
        <v>74</v>
      </c>
      <c r="E113" t="s">
        <v>74</v>
      </c>
      <c r="F113" t="s">
        <v>2411</v>
      </c>
      <c r="G113" t="s">
        <v>74</v>
      </c>
      <c r="H113" t="s">
        <v>74</v>
      </c>
      <c r="I113" t="s">
        <v>2412</v>
      </c>
      <c r="J113" t="s">
        <v>2413</v>
      </c>
      <c r="K113" t="s">
        <v>74</v>
      </c>
      <c r="L113" t="s">
        <v>74</v>
      </c>
      <c r="M113" t="s">
        <v>78</v>
      </c>
      <c r="N113" t="s">
        <v>79</v>
      </c>
      <c r="O113" t="s">
        <v>74</v>
      </c>
      <c r="P113" t="s">
        <v>74</v>
      </c>
      <c r="Q113" t="s">
        <v>74</v>
      </c>
      <c r="R113" t="s">
        <v>74</v>
      </c>
      <c r="S113" t="s">
        <v>74</v>
      </c>
      <c r="T113" t="s">
        <v>2414</v>
      </c>
      <c r="U113" t="s">
        <v>2415</v>
      </c>
      <c r="V113" t="s">
        <v>2416</v>
      </c>
      <c r="W113" t="s">
        <v>2417</v>
      </c>
      <c r="X113" t="s">
        <v>2418</v>
      </c>
      <c r="Y113" t="s">
        <v>2419</v>
      </c>
      <c r="Z113" t="s">
        <v>2420</v>
      </c>
      <c r="AA113" t="s">
        <v>2421</v>
      </c>
      <c r="AB113" t="s">
        <v>2422</v>
      </c>
      <c r="AC113" t="s">
        <v>2423</v>
      </c>
      <c r="AD113" t="s">
        <v>2424</v>
      </c>
      <c r="AE113" t="s">
        <v>2425</v>
      </c>
      <c r="AF113" t="s">
        <v>74</v>
      </c>
      <c r="AG113">
        <v>59</v>
      </c>
      <c r="AH113">
        <v>1</v>
      </c>
      <c r="AI113">
        <v>1</v>
      </c>
      <c r="AJ113">
        <v>5</v>
      </c>
      <c r="AK113">
        <v>13</v>
      </c>
      <c r="AL113" t="s">
        <v>179</v>
      </c>
      <c r="AM113" t="s">
        <v>180</v>
      </c>
      <c r="AN113" t="s">
        <v>181</v>
      </c>
      <c r="AO113" t="s">
        <v>74</v>
      </c>
      <c r="AP113" t="s">
        <v>2426</v>
      </c>
      <c r="AQ113" t="s">
        <v>74</v>
      </c>
      <c r="AR113" t="s">
        <v>2427</v>
      </c>
      <c r="AS113" t="s">
        <v>2428</v>
      </c>
      <c r="AT113" t="s">
        <v>1555</v>
      </c>
      <c r="AU113">
        <v>2025</v>
      </c>
      <c r="AV113">
        <v>12</v>
      </c>
      <c r="AW113">
        <v>41</v>
      </c>
      <c r="AX113" t="s">
        <v>74</v>
      </c>
      <c r="AY113" t="s">
        <v>74</v>
      </c>
      <c r="AZ113" t="s">
        <v>74</v>
      </c>
      <c r="BA113" t="s">
        <v>74</v>
      </c>
      <c r="BB113" t="s">
        <v>74</v>
      </c>
      <c r="BC113" t="s">
        <v>74</v>
      </c>
      <c r="BD113" t="s">
        <v>2429</v>
      </c>
      <c r="BE113" t="s">
        <v>2430</v>
      </c>
      <c r="BF113" t="str">
        <f>HYPERLINK("http://dx.doi.org/10.1002/advs.202506488","http://dx.doi.org/10.1002/advs.202506488")</f>
        <v>http://dx.doi.org/10.1002/advs.202506488</v>
      </c>
      <c r="BG113" t="s">
        <v>74</v>
      </c>
      <c r="BH113" t="s">
        <v>858</v>
      </c>
      <c r="BI113">
        <v>9</v>
      </c>
      <c r="BJ113" t="s">
        <v>2431</v>
      </c>
      <c r="BK113" t="s">
        <v>103</v>
      </c>
      <c r="BL113" t="s">
        <v>556</v>
      </c>
      <c r="BM113" t="s">
        <v>2432</v>
      </c>
      <c r="BN113">
        <v>40787900</v>
      </c>
      <c r="BO113" t="s">
        <v>191</v>
      </c>
      <c r="BP113" t="s">
        <v>74</v>
      </c>
      <c r="BQ113" t="s">
        <v>74</v>
      </c>
      <c r="BR113" t="s">
        <v>106</v>
      </c>
      <c r="BS113" t="s">
        <v>2433</v>
      </c>
      <c r="BT113" t="str">
        <f>HYPERLINK("https%3A%2F%2Fwww.webofscience.com%2Fwos%2Fwoscc%2Ffull-record%2FWOS:001546684600001","View Full Record in Web of Science")</f>
        <v>View Full Record in Web of Science</v>
      </c>
    </row>
    <row r="114" spans="1:72" x14ac:dyDescent="0.15">
      <c r="A114" t="s">
        <v>72</v>
      </c>
      <c r="B114" t="s">
        <v>2434</v>
      </c>
      <c r="C114" t="s">
        <v>74</v>
      </c>
      <c r="D114" t="s">
        <v>74</v>
      </c>
      <c r="E114" t="s">
        <v>74</v>
      </c>
      <c r="F114" t="s">
        <v>2435</v>
      </c>
      <c r="G114" t="s">
        <v>74</v>
      </c>
      <c r="H114" t="s">
        <v>74</v>
      </c>
      <c r="I114" t="s">
        <v>2436</v>
      </c>
      <c r="J114" t="s">
        <v>166</v>
      </c>
      <c r="K114" t="s">
        <v>74</v>
      </c>
      <c r="L114" t="s">
        <v>74</v>
      </c>
      <c r="M114" t="s">
        <v>78</v>
      </c>
      <c r="N114" t="s">
        <v>79</v>
      </c>
      <c r="O114" t="s">
        <v>74</v>
      </c>
      <c r="P114" t="s">
        <v>74</v>
      </c>
      <c r="Q114" t="s">
        <v>74</v>
      </c>
      <c r="R114" t="s">
        <v>74</v>
      </c>
      <c r="S114" t="s">
        <v>74</v>
      </c>
      <c r="T114" t="s">
        <v>2437</v>
      </c>
      <c r="U114" t="s">
        <v>2438</v>
      </c>
      <c r="V114" t="s">
        <v>2439</v>
      </c>
      <c r="W114" t="s">
        <v>2440</v>
      </c>
      <c r="X114" t="s">
        <v>2441</v>
      </c>
      <c r="Y114" t="s">
        <v>2442</v>
      </c>
      <c r="Z114" t="s">
        <v>2443</v>
      </c>
      <c r="AA114" t="s">
        <v>2444</v>
      </c>
      <c r="AB114" t="s">
        <v>2445</v>
      </c>
      <c r="AC114" t="s">
        <v>2446</v>
      </c>
      <c r="AD114" t="s">
        <v>2447</v>
      </c>
      <c r="AE114" t="s">
        <v>2448</v>
      </c>
      <c r="AF114" t="s">
        <v>74</v>
      </c>
      <c r="AG114">
        <v>85</v>
      </c>
      <c r="AH114">
        <v>2</v>
      </c>
      <c r="AI114">
        <v>2</v>
      </c>
      <c r="AJ114">
        <v>1</v>
      </c>
      <c r="AK114">
        <v>7</v>
      </c>
      <c r="AL114" t="s">
        <v>547</v>
      </c>
      <c r="AM114" t="s">
        <v>548</v>
      </c>
      <c r="AN114" t="s">
        <v>549</v>
      </c>
      <c r="AO114" t="s">
        <v>182</v>
      </c>
      <c r="AP114" t="s">
        <v>74</v>
      </c>
      <c r="AQ114" t="s">
        <v>74</v>
      </c>
      <c r="AR114" t="s">
        <v>183</v>
      </c>
      <c r="AS114" t="s">
        <v>184</v>
      </c>
      <c r="AT114" t="s">
        <v>1481</v>
      </c>
      <c r="AU114">
        <v>2025</v>
      </c>
      <c r="AV114">
        <v>12</v>
      </c>
      <c r="AW114">
        <v>12</v>
      </c>
      <c r="AX114" t="s">
        <v>74</v>
      </c>
      <c r="AY114" t="s">
        <v>74</v>
      </c>
      <c r="AZ114" t="s">
        <v>74</v>
      </c>
      <c r="BA114" t="s">
        <v>74</v>
      </c>
      <c r="BB114" t="s">
        <v>74</v>
      </c>
      <c r="BC114" t="s">
        <v>74</v>
      </c>
      <c r="BD114" t="s">
        <v>74</v>
      </c>
      <c r="BE114" t="s">
        <v>2449</v>
      </c>
      <c r="BF114" t="str">
        <f>HYPERLINK("http://dx.doi.org/10.1002/admi.202500066","http://dx.doi.org/10.1002/admi.202500066")</f>
        <v>http://dx.doi.org/10.1002/admi.202500066</v>
      </c>
      <c r="BG114" t="s">
        <v>74</v>
      </c>
      <c r="BH114" t="s">
        <v>274</v>
      </c>
      <c r="BI114">
        <v>11</v>
      </c>
      <c r="BJ114" t="s">
        <v>188</v>
      </c>
      <c r="BK114" t="s">
        <v>103</v>
      </c>
      <c r="BL114" t="s">
        <v>189</v>
      </c>
      <c r="BM114" t="s">
        <v>2450</v>
      </c>
      <c r="BN114" t="s">
        <v>74</v>
      </c>
      <c r="BO114" t="s">
        <v>191</v>
      </c>
      <c r="BP114" t="s">
        <v>74</v>
      </c>
      <c r="BQ114" t="s">
        <v>74</v>
      </c>
      <c r="BR114" t="s">
        <v>106</v>
      </c>
      <c r="BS114" t="s">
        <v>2451</v>
      </c>
      <c r="BT114" t="str">
        <f>HYPERLINK("https%3A%2F%2Fwww.webofscience.com%2Fwos%2Fwoscc%2Ffull-record%2FWOS:001419028100001","View Full Record in Web of Science")</f>
        <v>View Full Record in Web of Science</v>
      </c>
    </row>
    <row r="115" spans="1:72" x14ac:dyDescent="0.15">
      <c r="A115" t="s">
        <v>72</v>
      </c>
      <c r="B115" t="s">
        <v>2452</v>
      </c>
      <c r="C115" t="s">
        <v>74</v>
      </c>
      <c r="D115" t="s">
        <v>74</v>
      </c>
      <c r="E115" t="s">
        <v>74</v>
      </c>
      <c r="F115" t="s">
        <v>2453</v>
      </c>
      <c r="G115" t="s">
        <v>74</v>
      </c>
      <c r="H115" t="s">
        <v>74</v>
      </c>
      <c r="I115" t="s">
        <v>2454</v>
      </c>
      <c r="J115" t="s">
        <v>141</v>
      </c>
      <c r="K115" t="s">
        <v>74</v>
      </c>
      <c r="L115" t="s">
        <v>74</v>
      </c>
      <c r="M115" t="s">
        <v>78</v>
      </c>
      <c r="N115" t="s">
        <v>79</v>
      </c>
      <c r="O115" t="s">
        <v>74</v>
      </c>
      <c r="P115" t="s">
        <v>74</v>
      </c>
      <c r="Q115" t="s">
        <v>74</v>
      </c>
      <c r="R115" t="s">
        <v>74</v>
      </c>
      <c r="S115" t="s">
        <v>74</v>
      </c>
      <c r="T115" t="s">
        <v>74</v>
      </c>
      <c r="U115" t="s">
        <v>2455</v>
      </c>
      <c r="V115" t="s">
        <v>2456</v>
      </c>
      <c r="W115" t="s">
        <v>2457</v>
      </c>
      <c r="X115" t="s">
        <v>145</v>
      </c>
      <c r="Y115" t="s">
        <v>2221</v>
      </c>
      <c r="Z115" t="s">
        <v>1677</v>
      </c>
      <c r="AA115" t="s">
        <v>74</v>
      </c>
      <c r="AB115" t="s">
        <v>2458</v>
      </c>
      <c r="AC115" t="s">
        <v>2459</v>
      </c>
      <c r="AD115" t="s">
        <v>2460</v>
      </c>
      <c r="AE115" t="s">
        <v>2461</v>
      </c>
      <c r="AF115" t="s">
        <v>74</v>
      </c>
      <c r="AG115">
        <v>80</v>
      </c>
      <c r="AH115">
        <v>1</v>
      </c>
      <c r="AI115">
        <v>1</v>
      </c>
      <c r="AJ115">
        <v>0</v>
      </c>
      <c r="AK115">
        <v>1</v>
      </c>
      <c r="AL115" t="s">
        <v>152</v>
      </c>
      <c r="AM115" t="s">
        <v>153</v>
      </c>
      <c r="AN115" t="s">
        <v>154</v>
      </c>
      <c r="AO115" t="s">
        <v>155</v>
      </c>
      <c r="AP115" t="s">
        <v>156</v>
      </c>
      <c r="AQ115" t="s">
        <v>74</v>
      </c>
      <c r="AR115" t="s">
        <v>141</v>
      </c>
      <c r="AS115" t="s">
        <v>157</v>
      </c>
      <c r="AT115" t="s">
        <v>1251</v>
      </c>
      <c r="AU115">
        <v>2025</v>
      </c>
      <c r="AV115">
        <v>58</v>
      </c>
      <c r="AW115">
        <v>10</v>
      </c>
      <c r="AX115" t="s">
        <v>74</v>
      </c>
      <c r="AY115" t="s">
        <v>74</v>
      </c>
      <c r="AZ115" t="s">
        <v>74</v>
      </c>
      <c r="BA115" t="s">
        <v>74</v>
      </c>
      <c r="BB115">
        <v>5058</v>
      </c>
      <c r="BC115">
        <v>5070</v>
      </c>
      <c r="BD115" t="s">
        <v>74</v>
      </c>
      <c r="BE115" t="s">
        <v>2462</v>
      </c>
      <c r="BF115" t="str">
        <f>HYPERLINK("http://dx.doi.org/10.1021/acs.macromol.4c02326","http://dx.doi.org/10.1021/acs.macromol.4c02326")</f>
        <v>http://dx.doi.org/10.1021/acs.macromol.4c02326</v>
      </c>
      <c r="BG115" t="s">
        <v>74</v>
      </c>
      <c r="BH115" t="s">
        <v>1253</v>
      </c>
      <c r="BI115">
        <v>13</v>
      </c>
      <c r="BJ115" t="s">
        <v>102</v>
      </c>
      <c r="BK115" t="s">
        <v>103</v>
      </c>
      <c r="BL115" t="s">
        <v>102</v>
      </c>
      <c r="BM115" t="s">
        <v>2463</v>
      </c>
      <c r="BN115" t="s">
        <v>74</v>
      </c>
      <c r="BO115" t="s">
        <v>74</v>
      </c>
      <c r="BP115" t="s">
        <v>74</v>
      </c>
      <c r="BQ115" t="s">
        <v>74</v>
      </c>
      <c r="BR115" t="s">
        <v>106</v>
      </c>
      <c r="BS115" t="s">
        <v>2464</v>
      </c>
      <c r="BT115" t="str">
        <f>HYPERLINK("https%3A%2F%2Fwww.webofscience.com%2Fwos%2Fwoscc%2Ffull-record%2FWOS:001467402800001","View Full Record in Web of Science")</f>
        <v>View Full Record in Web of Science</v>
      </c>
    </row>
    <row r="116" spans="1:72" x14ac:dyDescent="0.15">
      <c r="A116" t="s">
        <v>72</v>
      </c>
      <c r="B116" t="s">
        <v>2465</v>
      </c>
      <c r="C116" t="s">
        <v>74</v>
      </c>
      <c r="D116" t="s">
        <v>74</v>
      </c>
      <c r="E116" t="s">
        <v>74</v>
      </c>
      <c r="F116" t="s">
        <v>2466</v>
      </c>
      <c r="G116" t="s">
        <v>74</v>
      </c>
      <c r="H116" t="s">
        <v>74</v>
      </c>
      <c r="I116" t="s">
        <v>2467</v>
      </c>
      <c r="J116" t="s">
        <v>563</v>
      </c>
      <c r="K116" t="s">
        <v>74</v>
      </c>
      <c r="L116" t="s">
        <v>74</v>
      </c>
      <c r="M116" t="s">
        <v>78</v>
      </c>
      <c r="N116" t="s">
        <v>2468</v>
      </c>
      <c r="O116" t="s">
        <v>74</v>
      </c>
      <c r="P116" t="s">
        <v>74</v>
      </c>
      <c r="Q116" t="s">
        <v>74</v>
      </c>
      <c r="R116" t="s">
        <v>74</v>
      </c>
      <c r="S116" t="s">
        <v>74</v>
      </c>
      <c r="T116" t="s">
        <v>74</v>
      </c>
      <c r="U116" t="s">
        <v>2469</v>
      </c>
      <c r="V116" t="s">
        <v>2470</v>
      </c>
      <c r="W116" t="s">
        <v>2471</v>
      </c>
      <c r="X116" t="s">
        <v>145</v>
      </c>
      <c r="Y116" t="s">
        <v>2472</v>
      </c>
      <c r="Z116" t="s">
        <v>435</v>
      </c>
      <c r="AA116" t="s">
        <v>2473</v>
      </c>
      <c r="AB116" t="s">
        <v>2474</v>
      </c>
      <c r="AC116" t="s">
        <v>2475</v>
      </c>
      <c r="AD116" t="s">
        <v>2476</v>
      </c>
      <c r="AE116" t="s">
        <v>2477</v>
      </c>
      <c r="AF116" t="s">
        <v>74</v>
      </c>
      <c r="AG116">
        <v>75</v>
      </c>
      <c r="AH116">
        <v>3</v>
      </c>
      <c r="AI116">
        <v>3</v>
      </c>
      <c r="AJ116">
        <v>9</v>
      </c>
      <c r="AK116">
        <v>24</v>
      </c>
      <c r="AL116" t="s">
        <v>152</v>
      </c>
      <c r="AM116" t="s">
        <v>153</v>
      </c>
      <c r="AN116" t="s">
        <v>154</v>
      </c>
      <c r="AO116" t="s">
        <v>575</v>
      </c>
      <c r="AP116" t="s">
        <v>576</v>
      </c>
      <c r="AQ116" t="s">
        <v>74</v>
      </c>
      <c r="AR116" t="s">
        <v>577</v>
      </c>
      <c r="AS116" t="s">
        <v>578</v>
      </c>
      <c r="AT116" t="s">
        <v>802</v>
      </c>
      <c r="AU116">
        <v>2025</v>
      </c>
      <c r="AV116">
        <v>37</v>
      </c>
      <c r="AW116">
        <v>12</v>
      </c>
      <c r="AX116" t="s">
        <v>74</v>
      </c>
      <c r="AY116" t="s">
        <v>74</v>
      </c>
      <c r="AZ116" t="s">
        <v>74</v>
      </c>
      <c r="BA116" t="s">
        <v>74</v>
      </c>
      <c r="BB116">
        <v>4236</v>
      </c>
      <c r="BC116">
        <v>4246</v>
      </c>
      <c r="BD116" t="s">
        <v>74</v>
      </c>
      <c r="BE116" t="s">
        <v>2478</v>
      </c>
      <c r="BF116" t="str">
        <f>HYPERLINK("http://dx.doi.org/10.1021/acs.chemmater.5c00674","http://dx.doi.org/10.1021/acs.chemmater.5c00674")</f>
        <v>http://dx.doi.org/10.1021/acs.chemmater.5c00674</v>
      </c>
      <c r="BG116" t="s">
        <v>74</v>
      </c>
      <c r="BH116" t="s">
        <v>694</v>
      </c>
      <c r="BI116">
        <v>11</v>
      </c>
      <c r="BJ116" t="s">
        <v>581</v>
      </c>
      <c r="BK116" t="s">
        <v>103</v>
      </c>
      <c r="BL116" t="s">
        <v>189</v>
      </c>
      <c r="BM116" t="s">
        <v>2479</v>
      </c>
      <c r="BN116" t="s">
        <v>74</v>
      </c>
      <c r="BO116" t="s">
        <v>74</v>
      </c>
      <c r="BP116" t="s">
        <v>74</v>
      </c>
      <c r="BQ116" t="s">
        <v>74</v>
      </c>
      <c r="BR116" t="s">
        <v>106</v>
      </c>
      <c r="BS116" t="s">
        <v>2480</v>
      </c>
      <c r="BT116" t="str">
        <f>HYPERLINK("https%3A%2F%2Fwww.webofscience.com%2Fwos%2Fwoscc%2Ffull-record%2FWOS:001508759500001","View Full Record in Web of Science")</f>
        <v>View Full Record in Web of Science</v>
      </c>
    </row>
    <row r="117" spans="1:72" x14ac:dyDescent="0.15">
      <c r="A117" t="s">
        <v>72</v>
      </c>
      <c r="B117" t="s">
        <v>2481</v>
      </c>
      <c r="C117" t="s">
        <v>74</v>
      </c>
      <c r="D117" t="s">
        <v>74</v>
      </c>
      <c r="E117" t="s">
        <v>74</v>
      </c>
      <c r="F117" t="s">
        <v>2482</v>
      </c>
      <c r="G117" t="s">
        <v>74</v>
      </c>
      <c r="H117" t="s">
        <v>74</v>
      </c>
      <c r="I117" t="s">
        <v>2483</v>
      </c>
      <c r="J117" t="s">
        <v>2484</v>
      </c>
      <c r="K117" t="s">
        <v>74</v>
      </c>
      <c r="L117" t="s">
        <v>74</v>
      </c>
      <c r="M117" t="s">
        <v>78</v>
      </c>
      <c r="N117" t="s">
        <v>79</v>
      </c>
      <c r="O117" t="s">
        <v>74</v>
      </c>
      <c r="P117" t="s">
        <v>74</v>
      </c>
      <c r="Q117" t="s">
        <v>74</v>
      </c>
      <c r="R117" t="s">
        <v>74</v>
      </c>
      <c r="S117" t="s">
        <v>74</v>
      </c>
      <c r="T117" t="s">
        <v>74</v>
      </c>
      <c r="U117" t="s">
        <v>2485</v>
      </c>
      <c r="V117" t="s">
        <v>2486</v>
      </c>
      <c r="W117" t="s">
        <v>2487</v>
      </c>
      <c r="X117" t="s">
        <v>2488</v>
      </c>
      <c r="Y117" t="s">
        <v>2489</v>
      </c>
      <c r="Z117" t="s">
        <v>2490</v>
      </c>
      <c r="AA117" t="s">
        <v>2491</v>
      </c>
      <c r="AB117" t="s">
        <v>2492</v>
      </c>
      <c r="AC117" t="s">
        <v>2493</v>
      </c>
      <c r="AD117" t="s">
        <v>2494</v>
      </c>
      <c r="AE117" t="s">
        <v>2495</v>
      </c>
      <c r="AF117" t="s">
        <v>74</v>
      </c>
      <c r="AG117">
        <v>119</v>
      </c>
      <c r="AH117">
        <v>6</v>
      </c>
      <c r="AI117">
        <v>6</v>
      </c>
      <c r="AJ117">
        <v>0</v>
      </c>
      <c r="AK117">
        <v>11</v>
      </c>
      <c r="AL117" t="s">
        <v>898</v>
      </c>
      <c r="AM117" t="s">
        <v>124</v>
      </c>
      <c r="AN117" t="s">
        <v>899</v>
      </c>
      <c r="AO117" t="s">
        <v>2496</v>
      </c>
      <c r="AP117" t="s">
        <v>2497</v>
      </c>
      <c r="AQ117" t="s">
        <v>74</v>
      </c>
      <c r="AR117" t="s">
        <v>2498</v>
      </c>
      <c r="AS117" t="s">
        <v>2499</v>
      </c>
      <c r="AT117" t="s">
        <v>2500</v>
      </c>
      <c r="AU117">
        <v>2025</v>
      </c>
      <c r="AV117">
        <v>85</v>
      </c>
      <c r="AW117">
        <v>12</v>
      </c>
      <c r="AX117" t="s">
        <v>74</v>
      </c>
      <c r="AY117" t="s">
        <v>74</v>
      </c>
      <c r="AZ117" t="s">
        <v>74</v>
      </c>
      <c r="BA117" t="s">
        <v>74</v>
      </c>
      <c r="BB117">
        <v>2355</v>
      </c>
      <c r="BC117">
        <v>2373</v>
      </c>
      <c r="BD117" t="s">
        <v>74</v>
      </c>
      <c r="BE117" t="s">
        <v>2501</v>
      </c>
      <c r="BF117" t="str">
        <f>HYPERLINK("http://dx.doi.org/10.1016/j.molcel.2025.05.012","http://dx.doi.org/10.1016/j.molcel.2025.05.012")</f>
        <v>http://dx.doi.org/10.1016/j.molcel.2025.05.012</v>
      </c>
      <c r="BG117" t="s">
        <v>74</v>
      </c>
      <c r="BH117" t="s">
        <v>694</v>
      </c>
      <c r="BI117">
        <v>19</v>
      </c>
      <c r="BJ117" t="s">
        <v>906</v>
      </c>
      <c r="BK117" t="s">
        <v>103</v>
      </c>
      <c r="BL117" t="s">
        <v>906</v>
      </c>
      <c r="BM117" t="s">
        <v>2502</v>
      </c>
      <c r="BN117">
        <v>40480227</v>
      </c>
      <c r="BO117" t="s">
        <v>74</v>
      </c>
      <c r="BP117" t="s">
        <v>74</v>
      </c>
      <c r="BQ117" t="s">
        <v>74</v>
      </c>
      <c r="BR117" t="s">
        <v>106</v>
      </c>
      <c r="BS117" t="s">
        <v>2503</v>
      </c>
      <c r="BT117" t="str">
        <f>HYPERLINK("https%3A%2F%2Fwww.webofscience.com%2Fwos%2Fwoscc%2Ffull-record%2FWOS:001518825900010","View Full Record in Web of Science")</f>
        <v>View Full Record in Web of Science</v>
      </c>
    </row>
    <row r="118" spans="1:72" x14ac:dyDescent="0.15">
      <c r="A118" t="s">
        <v>72</v>
      </c>
      <c r="B118" t="s">
        <v>2504</v>
      </c>
      <c r="C118" t="s">
        <v>74</v>
      </c>
      <c r="D118" t="s">
        <v>74</v>
      </c>
      <c r="E118" t="s">
        <v>74</v>
      </c>
      <c r="F118" t="s">
        <v>2505</v>
      </c>
      <c r="G118" t="s">
        <v>74</v>
      </c>
      <c r="H118" t="s">
        <v>74</v>
      </c>
      <c r="I118" t="s">
        <v>2506</v>
      </c>
      <c r="J118" t="s">
        <v>479</v>
      </c>
      <c r="K118" t="s">
        <v>74</v>
      </c>
      <c r="L118" t="s">
        <v>74</v>
      </c>
      <c r="M118" t="s">
        <v>78</v>
      </c>
      <c r="N118" t="s">
        <v>79</v>
      </c>
      <c r="O118" t="s">
        <v>74</v>
      </c>
      <c r="P118" t="s">
        <v>74</v>
      </c>
      <c r="Q118" t="s">
        <v>74</v>
      </c>
      <c r="R118" t="s">
        <v>74</v>
      </c>
      <c r="S118" t="s">
        <v>74</v>
      </c>
      <c r="T118" t="s">
        <v>74</v>
      </c>
      <c r="U118" t="s">
        <v>2507</v>
      </c>
      <c r="V118" t="s">
        <v>2508</v>
      </c>
      <c r="W118" t="s">
        <v>2509</v>
      </c>
      <c r="X118" t="s">
        <v>145</v>
      </c>
      <c r="Y118" t="s">
        <v>458</v>
      </c>
      <c r="Z118" t="s">
        <v>459</v>
      </c>
      <c r="AA118" t="s">
        <v>2510</v>
      </c>
      <c r="AB118" t="s">
        <v>2511</v>
      </c>
      <c r="AC118" t="s">
        <v>2512</v>
      </c>
      <c r="AD118" t="s">
        <v>2513</v>
      </c>
      <c r="AE118" t="s">
        <v>2514</v>
      </c>
      <c r="AF118" t="s">
        <v>74</v>
      </c>
      <c r="AG118">
        <v>57</v>
      </c>
      <c r="AH118">
        <v>0</v>
      </c>
      <c r="AI118">
        <v>0</v>
      </c>
      <c r="AJ118">
        <v>0</v>
      </c>
      <c r="AK118">
        <v>5</v>
      </c>
      <c r="AL118" t="s">
        <v>491</v>
      </c>
      <c r="AM118" t="s">
        <v>124</v>
      </c>
      <c r="AN118" t="s">
        <v>492</v>
      </c>
      <c r="AO118" t="s">
        <v>493</v>
      </c>
      <c r="AP118" t="s">
        <v>494</v>
      </c>
      <c r="AQ118" t="s">
        <v>74</v>
      </c>
      <c r="AR118" t="s">
        <v>479</v>
      </c>
      <c r="AS118" t="s">
        <v>495</v>
      </c>
      <c r="AT118" t="s">
        <v>2515</v>
      </c>
      <c r="AU118">
        <v>2025</v>
      </c>
      <c r="AV118">
        <v>21</v>
      </c>
      <c r="AW118">
        <v>34</v>
      </c>
      <c r="AX118" t="s">
        <v>74</v>
      </c>
      <c r="AY118" t="s">
        <v>74</v>
      </c>
      <c r="AZ118" t="s">
        <v>74</v>
      </c>
      <c r="BA118" t="s">
        <v>74</v>
      </c>
      <c r="BB118">
        <v>6751</v>
      </c>
      <c r="BC118">
        <v>6761</v>
      </c>
      <c r="BD118" t="s">
        <v>74</v>
      </c>
      <c r="BE118" t="s">
        <v>2516</v>
      </c>
      <c r="BF118" t="str">
        <f>HYPERLINK("http://dx.doi.org/10.1039/d5sm00487j","http://dx.doi.org/10.1039/d5sm00487j")</f>
        <v>http://dx.doi.org/10.1039/d5sm00487j</v>
      </c>
      <c r="BG118" t="s">
        <v>74</v>
      </c>
      <c r="BH118" t="s">
        <v>858</v>
      </c>
      <c r="BI118">
        <v>11</v>
      </c>
      <c r="BJ118" t="s">
        <v>499</v>
      </c>
      <c r="BK118" t="s">
        <v>103</v>
      </c>
      <c r="BL118" t="s">
        <v>500</v>
      </c>
      <c r="BM118" t="s">
        <v>2517</v>
      </c>
      <c r="BN118">
        <v>40791191</v>
      </c>
      <c r="BO118" t="s">
        <v>344</v>
      </c>
      <c r="BP118" t="s">
        <v>74</v>
      </c>
      <c r="BQ118" t="s">
        <v>74</v>
      </c>
      <c r="BR118" t="s">
        <v>106</v>
      </c>
      <c r="BS118" t="s">
        <v>2518</v>
      </c>
      <c r="BT118" t="str">
        <f>HYPERLINK("https%3A%2F%2Fwww.webofscience.com%2Fwos%2Fwoscc%2Ffull-record%2FWOS:001547332700001","View Full Record in Web of Science")</f>
        <v>View Full Record in Web of Science</v>
      </c>
    </row>
    <row r="119" spans="1:72" x14ac:dyDescent="0.15">
      <c r="A119" t="s">
        <v>72</v>
      </c>
      <c r="B119" t="s">
        <v>2519</v>
      </c>
      <c r="C119" t="s">
        <v>74</v>
      </c>
      <c r="D119" t="s">
        <v>74</v>
      </c>
      <c r="E119" t="s">
        <v>74</v>
      </c>
      <c r="F119" t="s">
        <v>2520</v>
      </c>
      <c r="G119" t="s">
        <v>74</v>
      </c>
      <c r="H119" t="s">
        <v>74</v>
      </c>
      <c r="I119" t="s">
        <v>2521</v>
      </c>
      <c r="J119" t="s">
        <v>1760</v>
      </c>
      <c r="K119" t="s">
        <v>74</v>
      </c>
      <c r="L119" t="s">
        <v>74</v>
      </c>
      <c r="M119" t="s">
        <v>78</v>
      </c>
      <c r="N119" t="s">
        <v>79</v>
      </c>
      <c r="O119" t="s">
        <v>74</v>
      </c>
      <c r="P119" t="s">
        <v>74</v>
      </c>
      <c r="Q119" t="s">
        <v>74</v>
      </c>
      <c r="R119" t="s">
        <v>74</v>
      </c>
      <c r="S119" t="s">
        <v>74</v>
      </c>
      <c r="T119" t="s">
        <v>2522</v>
      </c>
      <c r="U119" t="s">
        <v>2523</v>
      </c>
      <c r="V119" t="s">
        <v>2524</v>
      </c>
      <c r="W119" t="s">
        <v>2525</v>
      </c>
      <c r="X119" t="s">
        <v>2526</v>
      </c>
      <c r="Y119" t="s">
        <v>2527</v>
      </c>
      <c r="Z119" t="s">
        <v>2528</v>
      </c>
      <c r="AA119" t="s">
        <v>2529</v>
      </c>
      <c r="AB119" t="s">
        <v>2530</v>
      </c>
      <c r="AC119" t="s">
        <v>2531</v>
      </c>
      <c r="AD119" t="s">
        <v>2532</v>
      </c>
      <c r="AE119" t="s">
        <v>2533</v>
      </c>
      <c r="AF119" t="s">
        <v>74</v>
      </c>
      <c r="AG119">
        <v>54</v>
      </c>
      <c r="AH119">
        <v>10</v>
      </c>
      <c r="AI119">
        <v>11</v>
      </c>
      <c r="AJ119">
        <v>6</v>
      </c>
      <c r="AK119">
        <v>18</v>
      </c>
      <c r="AL119" t="s">
        <v>898</v>
      </c>
      <c r="AM119" t="s">
        <v>124</v>
      </c>
      <c r="AN119" t="s">
        <v>899</v>
      </c>
      <c r="AO119" t="s">
        <v>1771</v>
      </c>
      <c r="AP119" t="s">
        <v>1772</v>
      </c>
      <c r="AQ119" t="s">
        <v>74</v>
      </c>
      <c r="AR119" t="s">
        <v>1773</v>
      </c>
      <c r="AS119" t="s">
        <v>1774</v>
      </c>
      <c r="AT119" t="s">
        <v>2534</v>
      </c>
      <c r="AU119">
        <v>2025</v>
      </c>
      <c r="AV119">
        <v>8</v>
      </c>
      <c r="AW119">
        <v>2</v>
      </c>
      <c r="AX119" t="s">
        <v>74</v>
      </c>
      <c r="AY119" t="s">
        <v>74</v>
      </c>
      <c r="AZ119" t="s">
        <v>74</v>
      </c>
      <c r="BA119" t="s">
        <v>74</v>
      </c>
      <c r="BB119" t="s">
        <v>74</v>
      </c>
      <c r="BC119" t="s">
        <v>74</v>
      </c>
      <c r="BD119">
        <v>101919</v>
      </c>
      <c r="BE119" t="s">
        <v>2535</v>
      </c>
      <c r="BF119" t="str">
        <f>HYPERLINK("http://dx.doi.org/10.1016/j.matt.2024.11.013","http://dx.doi.org/10.1016/j.matt.2024.11.013")</f>
        <v>http://dx.doi.org/10.1016/j.matt.2024.11.013</v>
      </c>
      <c r="BG119" t="s">
        <v>74</v>
      </c>
      <c r="BH119" t="s">
        <v>274</v>
      </c>
      <c r="BI119">
        <v>13</v>
      </c>
      <c r="BJ119" t="s">
        <v>368</v>
      </c>
      <c r="BK119" t="s">
        <v>103</v>
      </c>
      <c r="BL119" t="s">
        <v>369</v>
      </c>
      <c r="BM119" t="s">
        <v>2536</v>
      </c>
      <c r="BN119" t="s">
        <v>74</v>
      </c>
      <c r="BO119" t="s">
        <v>74</v>
      </c>
      <c r="BP119" t="s">
        <v>74</v>
      </c>
      <c r="BQ119" t="s">
        <v>74</v>
      </c>
      <c r="BR119" t="s">
        <v>106</v>
      </c>
      <c r="BS119" t="s">
        <v>2537</v>
      </c>
      <c r="BT119" t="str">
        <f>HYPERLINK("https%3A%2F%2Fwww.webofscience.com%2Fwos%2Fwoscc%2Ffull-record%2FWOS:001423326800001","View Full Record in Web of Science")</f>
        <v>View Full Record in Web of Science</v>
      </c>
    </row>
    <row r="120" spans="1:72" x14ac:dyDescent="0.15">
      <c r="A120" t="s">
        <v>72</v>
      </c>
      <c r="B120" t="s">
        <v>2538</v>
      </c>
      <c r="C120" t="s">
        <v>74</v>
      </c>
      <c r="D120" t="s">
        <v>74</v>
      </c>
      <c r="E120" t="s">
        <v>74</v>
      </c>
      <c r="F120" t="s">
        <v>2539</v>
      </c>
      <c r="G120" t="s">
        <v>74</v>
      </c>
      <c r="H120" t="s">
        <v>74</v>
      </c>
      <c r="I120" t="s">
        <v>2540</v>
      </c>
      <c r="J120" t="s">
        <v>375</v>
      </c>
      <c r="K120" t="s">
        <v>74</v>
      </c>
      <c r="L120" t="s">
        <v>74</v>
      </c>
      <c r="M120" t="s">
        <v>78</v>
      </c>
      <c r="N120" t="s">
        <v>79</v>
      </c>
      <c r="O120" t="s">
        <v>74</v>
      </c>
      <c r="P120" t="s">
        <v>74</v>
      </c>
      <c r="Q120" t="s">
        <v>74</v>
      </c>
      <c r="R120" t="s">
        <v>74</v>
      </c>
      <c r="S120" t="s">
        <v>74</v>
      </c>
      <c r="T120" t="s">
        <v>2541</v>
      </c>
      <c r="U120" t="s">
        <v>2542</v>
      </c>
      <c r="V120" t="s">
        <v>2543</v>
      </c>
      <c r="W120" t="s">
        <v>2544</v>
      </c>
      <c r="X120" t="s">
        <v>2545</v>
      </c>
      <c r="Y120" t="s">
        <v>2546</v>
      </c>
      <c r="Z120" t="s">
        <v>380</v>
      </c>
      <c r="AA120" t="s">
        <v>2547</v>
      </c>
      <c r="AB120" t="s">
        <v>74</v>
      </c>
      <c r="AC120" t="s">
        <v>2548</v>
      </c>
      <c r="AD120" t="s">
        <v>2549</v>
      </c>
      <c r="AE120" t="s">
        <v>2550</v>
      </c>
      <c r="AF120" t="s">
        <v>74</v>
      </c>
      <c r="AG120">
        <v>23</v>
      </c>
      <c r="AH120">
        <v>0</v>
      </c>
      <c r="AI120">
        <v>0</v>
      </c>
      <c r="AJ120">
        <v>2</v>
      </c>
      <c r="AK120">
        <v>2</v>
      </c>
      <c r="AL120" t="s">
        <v>386</v>
      </c>
      <c r="AM120" t="s">
        <v>387</v>
      </c>
      <c r="AN120" t="s">
        <v>388</v>
      </c>
      <c r="AO120" t="s">
        <v>389</v>
      </c>
      <c r="AP120" t="s">
        <v>390</v>
      </c>
      <c r="AQ120" t="s">
        <v>74</v>
      </c>
      <c r="AR120" t="s">
        <v>391</v>
      </c>
      <c r="AS120" t="s">
        <v>392</v>
      </c>
      <c r="AT120" t="s">
        <v>419</v>
      </c>
      <c r="AU120">
        <v>2026</v>
      </c>
      <c r="AV120">
        <v>47</v>
      </c>
      <c r="AW120">
        <v>5</v>
      </c>
      <c r="AX120" t="s">
        <v>74</v>
      </c>
      <c r="AY120" t="s">
        <v>74</v>
      </c>
      <c r="AZ120" t="s">
        <v>74</v>
      </c>
      <c r="BA120" t="s">
        <v>74</v>
      </c>
      <c r="BB120">
        <v>893</v>
      </c>
      <c r="BC120">
        <v>896</v>
      </c>
      <c r="BD120" t="s">
        <v>74</v>
      </c>
      <c r="BE120" t="s">
        <v>2551</v>
      </c>
      <c r="BF120" t="str">
        <f>HYPERLINK("http://dx.doi.org/10.1109/LED.2026.3675494","http://dx.doi.org/10.1109/LED.2026.3675494")</f>
        <v>http://dx.doi.org/10.1109/LED.2026.3675494</v>
      </c>
      <c r="BG120" t="s">
        <v>74</v>
      </c>
      <c r="BH120" t="s">
        <v>74</v>
      </c>
      <c r="BI120">
        <v>4</v>
      </c>
      <c r="BJ120" t="s">
        <v>395</v>
      </c>
      <c r="BK120" t="s">
        <v>103</v>
      </c>
      <c r="BL120" t="s">
        <v>396</v>
      </c>
      <c r="BM120" t="s">
        <v>2552</v>
      </c>
      <c r="BN120" t="s">
        <v>74</v>
      </c>
      <c r="BO120" t="s">
        <v>105</v>
      </c>
      <c r="BP120" t="s">
        <v>74</v>
      </c>
      <c r="BQ120" t="s">
        <v>74</v>
      </c>
      <c r="BR120" t="s">
        <v>106</v>
      </c>
      <c r="BS120" t="s">
        <v>2553</v>
      </c>
      <c r="BT120" t="str">
        <f>HYPERLINK("https%3A%2F%2Fwww.webofscience.com%2Fwos%2Fwoscc%2Ffull-record%2FWOS:001756806400038","View Full Record in Web of Science")</f>
        <v>View Full Record in Web of Science</v>
      </c>
    </row>
    <row r="121" spans="1:72" x14ac:dyDescent="0.15">
      <c r="A121" t="s">
        <v>72</v>
      </c>
      <c r="B121" t="s">
        <v>2554</v>
      </c>
      <c r="C121" t="s">
        <v>74</v>
      </c>
      <c r="D121" t="s">
        <v>74</v>
      </c>
      <c r="E121" t="s">
        <v>74</v>
      </c>
      <c r="F121" t="s">
        <v>2555</v>
      </c>
      <c r="G121" t="s">
        <v>74</v>
      </c>
      <c r="H121" t="s">
        <v>74</v>
      </c>
      <c r="I121" t="s">
        <v>2556</v>
      </c>
      <c r="J121" t="s">
        <v>166</v>
      </c>
      <c r="K121" t="s">
        <v>74</v>
      </c>
      <c r="L121" t="s">
        <v>74</v>
      </c>
      <c r="M121" t="s">
        <v>78</v>
      </c>
      <c r="N121" t="s">
        <v>588</v>
      </c>
      <c r="O121" t="s">
        <v>74</v>
      </c>
      <c r="P121" t="s">
        <v>74</v>
      </c>
      <c r="Q121" t="s">
        <v>74</v>
      </c>
      <c r="R121" t="s">
        <v>74</v>
      </c>
      <c r="S121" t="s">
        <v>74</v>
      </c>
      <c r="T121" t="s">
        <v>2557</v>
      </c>
      <c r="U121" t="s">
        <v>2558</v>
      </c>
      <c r="V121" t="s">
        <v>2559</v>
      </c>
      <c r="W121" t="s">
        <v>2560</v>
      </c>
      <c r="X121" t="s">
        <v>891</v>
      </c>
      <c r="Y121" t="s">
        <v>2561</v>
      </c>
      <c r="Z121" t="s">
        <v>2562</v>
      </c>
      <c r="AA121" t="s">
        <v>2563</v>
      </c>
      <c r="AB121" t="s">
        <v>74</v>
      </c>
      <c r="AC121" t="s">
        <v>2564</v>
      </c>
      <c r="AD121" t="s">
        <v>2565</v>
      </c>
      <c r="AE121" t="s">
        <v>2566</v>
      </c>
      <c r="AF121" t="s">
        <v>74</v>
      </c>
      <c r="AG121">
        <v>68</v>
      </c>
      <c r="AH121">
        <v>0</v>
      </c>
      <c r="AI121">
        <v>0</v>
      </c>
      <c r="AJ121">
        <v>1</v>
      </c>
      <c r="AK121">
        <v>1</v>
      </c>
      <c r="AL121" t="s">
        <v>179</v>
      </c>
      <c r="AM121" t="s">
        <v>180</v>
      </c>
      <c r="AN121" t="s">
        <v>181</v>
      </c>
      <c r="AO121" t="s">
        <v>182</v>
      </c>
      <c r="AP121" t="s">
        <v>74</v>
      </c>
      <c r="AQ121" t="s">
        <v>74</v>
      </c>
      <c r="AR121" t="s">
        <v>183</v>
      </c>
      <c r="AS121" t="s">
        <v>184</v>
      </c>
      <c r="AT121" t="s">
        <v>2567</v>
      </c>
      <c r="AU121">
        <v>2026</v>
      </c>
      <c r="AV121" t="s">
        <v>74</v>
      </c>
      <c r="AW121" t="s">
        <v>74</v>
      </c>
      <c r="AX121" t="s">
        <v>74</v>
      </c>
      <c r="AY121" t="s">
        <v>74</v>
      </c>
      <c r="AZ121" t="s">
        <v>74</v>
      </c>
      <c r="BA121" t="s">
        <v>74</v>
      </c>
      <c r="BB121" t="s">
        <v>74</v>
      </c>
      <c r="BC121" t="s">
        <v>74</v>
      </c>
      <c r="BD121" t="s">
        <v>74</v>
      </c>
      <c r="BE121" t="s">
        <v>2568</v>
      </c>
      <c r="BF121" t="str">
        <f>HYPERLINK("http://dx.doi.org/10.1002/admi.70508","http://dx.doi.org/10.1002/admi.70508")</f>
        <v>http://dx.doi.org/10.1002/admi.70508</v>
      </c>
      <c r="BG121" t="s">
        <v>74</v>
      </c>
      <c r="BH121" t="s">
        <v>2103</v>
      </c>
      <c r="BI121">
        <v>17</v>
      </c>
      <c r="BJ121" t="s">
        <v>188</v>
      </c>
      <c r="BK121" t="s">
        <v>103</v>
      </c>
      <c r="BL121" t="s">
        <v>189</v>
      </c>
      <c r="BM121" t="s">
        <v>2569</v>
      </c>
      <c r="BN121" t="s">
        <v>74</v>
      </c>
      <c r="BO121" t="s">
        <v>558</v>
      </c>
      <c r="BP121" t="s">
        <v>74</v>
      </c>
      <c r="BQ121" t="s">
        <v>74</v>
      </c>
      <c r="BR121" t="s">
        <v>106</v>
      </c>
      <c r="BS121" t="s">
        <v>2570</v>
      </c>
      <c r="BT121" t="str">
        <f>HYPERLINK("https%3A%2F%2Fwww.webofscience.com%2Fwos%2Fwoscc%2Ffull-record%2FWOS:001754215200001","View Full Record in Web of Science")</f>
        <v>View Full Record in Web of Science</v>
      </c>
    </row>
    <row r="122" spans="1:72" x14ac:dyDescent="0.15">
      <c r="A122" t="s">
        <v>72</v>
      </c>
      <c r="B122" t="s">
        <v>2571</v>
      </c>
      <c r="C122" t="s">
        <v>74</v>
      </c>
      <c r="D122" t="s">
        <v>74</v>
      </c>
      <c r="E122" t="s">
        <v>74</v>
      </c>
      <c r="F122" t="s">
        <v>2572</v>
      </c>
      <c r="G122" t="s">
        <v>74</v>
      </c>
      <c r="H122" t="s">
        <v>74</v>
      </c>
      <c r="I122" t="s">
        <v>2573</v>
      </c>
      <c r="J122" t="s">
        <v>2574</v>
      </c>
      <c r="K122" t="s">
        <v>74</v>
      </c>
      <c r="L122" t="s">
        <v>74</v>
      </c>
      <c r="M122" t="s">
        <v>78</v>
      </c>
      <c r="N122" t="s">
        <v>79</v>
      </c>
      <c r="O122" t="s">
        <v>74</v>
      </c>
      <c r="P122" t="s">
        <v>74</v>
      </c>
      <c r="Q122" t="s">
        <v>74</v>
      </c>
      <c r="R122" t="s">
        <v>74</v>
      </c>
      <c r="S122" t="s">
        <v>74</v>
      </c>
      <c r="T122" t="s">
        <v>74</v>
      </c>
      <c r="U122" t="s">
        <v>2575</v>
      </c>
      <c r="V122" t="s">
        <v>2576</v>
      </c>
      <c r="W122" t="s">
        <v>2577</v>
      </c>
      <c r="X122" t="s">
        <v>2578</v>
      </c>
      <c r="Y122" t="s">
        <v>2579</v>
      </c>
      <c r="Z122" t="s">
        <v>2580</v>
      </c>
      <c r="AA122" t="s">
        <v>2581</v>
      </c>
      <c r="AB122" t="s">
        <v>2582</v>
      </c>
      <c r="AC122" t="s">
        <v>2583</v>
      </c>
      <c r="AD122" t="s">
        <v>2584</v>
      </c>
      <c r="AE122" t="s">
        <v>2585</v>
      </c>
      <c r="AF122" t="s">
        <v>74</v>
      </c>
      <c r="AG122">
        <v>117</v>
      </c>
      <c r="AH122">
        <v>11</v>
      </c>
      <c r="AI122">
        <v>14</v>
      </c>
      <c r="AJ122">
        <v>3</v>
      </c>
      <c r="AK122">
        <v>21</v>
      </c>
      <c r="AL122" t="s">
        <v>898</v>
      </c>
      <c r="AM122" t="s">
        <v>124</v>
      </c>
      <c r="AN122" t="s">
        <v>899</v>
      </c>
      <c r="AO122" t="s">
        <v>2586</v>
      </c>
      <c r="AP122" t="s">
        <v>74</v>
      </c>
      <c r="AQ122" t="s">
        <v>74</v>
      </c>
      <c r="AR122" t="s">
        <v>2587</v>
      </c>
      <c r="AS122" t="s">
        <v>2588</v>
      </c>
      <c r="AT122" t="s">
        <v>2589</v>
      </c>
      <c r="AU122">
        <v>2025</v>
      </c>
      <c r="AV122">
        <v>11</v>
      </c>
      <c r="AW122">
        <v>7</v>
      </c>
      <c r="AX122" t="s">
        <v>74</v>
      </c>
      <c r="AY122" t="s">
        <v>74</v>
      </c>
      <c r="AZ122" t="s">
        <v>74</v>
      </c>
      <c r="BA122" t="s">
        <v>74</v>
      </c>
      <c r="BB122" t="s">
        <v>74</v>
      </c>
      <c r="BC122" t="s">
        <v>74</v>
      </c>
      <c r="BD122">
        <v>102462</v>
      </c>
      <c r="BE122" t="s">
        <v>2590</v>
      </c>
      <c r="BF122" t="str">
        <f>HYPERLINK("http://dx.doi.org/10.1016/j.chempr.2025.102462","http://dx.doi.org/10.1016/j.chempr.2025.102462")</f>
        <v>http://dx.doi.org/10.1016/j.chempr.2025.102462</v>
      </c>
      <c r="BG122" t="s">
        <v>74</v>
      </c>
      <c r="BH122" t="s">
        <v>342</v>
      </c>
      <c r="BI122">
        <v>18</v>
      </c>
      <c r="BJ122" t="s">
        <v>1069</v>
      </c>
      <c r="BK122" t="s">
        <v>103</v>
      </c>
      <c r="BL122" t="s">
        <v>1070</v>
      </c>
      <c r="BM122" t="s">
        <v>2591</v>
      </c>
      <c r="BN122">
        <v>40894117</v>
      </c>
      <c r="BO122" t="s">
        <v>105</v>
      </c>
      <c r="BP122" t="s">
        <v>74</v>
      </c>
      <c r="BQ122" t="s">
        <v>74</v>
      </c>
      <c r="BR122" t="s">
        <v>106</v>
      </c>
      <c r="BS122" t="s">
        <v>2592</v>
      </c>
      <c r="BT122" t="str">
        <f>HYPERLINK("https%3A%2F%2Fwww.webofscience.com%2Fwos%2Fwoscc%2Ffull-record%2FWOS:001536454900001","View Full Record in Web of Science")</f>
        <v>View Full Record in Web of Science</v>
      </c>
    </row>
    <row r="123" spans="1:72" x14ac:dyDescent="0.15">
      <c r="A123" t="s">
        <v>72</v>
      </c>
      <c r="B123" t="s">
        <v>2593</v>
      </c>
      <c r="C123" t="s">
        <v>74</v>
      </c>
      <c r="D123" t="s">
        <v>74</v>
      </c>
      <c r="E123" t="s">
        <v>74</v>
      </c>
      <c r="F123" t="s">
        <v>2594</v>
      </c>
      <c r="G123" t="s">
        <v>74</v>
      </c>
      <c r="H123" t="s">
        <v>74</v>
      </c>
      <c r="I123" t="s">
        <v>2595</v>
      </c>
      <c r="J123" t="s">
        <v>2596</v>
      </c>
      <c r="K123" t="s">
        <v>74</v>
      </c>
      <c r="L123" t="s">
        <v>74</v>
      </c>
      <c r="M123" t="s">
        <v>78</v>
      </c>
      <c r="N123" t="s">
        <v>79</v>
      </c>
      <c r="O123" t="s">
        <v>74</v>
      </c>
      <c r="P123" t="s">
        <v>74</v>
      </c>
      <c r="Q123" t="s">
        <v>74</v>
      </c>
      <c r="R123" t="s">
        <v>74</v>
      </c>
      <c r="S123" t="s">
        <v>74</v>
      </c>
      <c r="T123" t="s">
        <v>2597</v>
      </c>
      <c r="U123" t="s">
        <v>2598</v>
      </c>
      <c r="V123" t="s">
        <v>2599</v>
      </c>
      <c r="W123" t="s">
        <v>2600</v>
      </c>
      <c r="X123" t="s">
        <v>354</v>
      </c>
      <c r="Y123" t="s">
        <v>458</v>
      </c>
      <c r="Z123" t="s">
        <v>459</v>
      </c>
      <c r="AA123" t="s">
        <v>2601</v>
      </c>
      <c r="AB123" t="s">
        <v>2602</v>
      </c>
      <c r="AC123" t="s">
        <v>2603</v>
      </c>
      <c r="AD123" t="s">
        <v>2604</v>
      </c>
      <c r="AE123" t="s">
        <v>2605</v>
      </c>
      <c r="AF123" t="s">
        <v>74</v>
      </c>
      <c r="AG123">
        <v>55</v>
      </c>
      <c r="AH123">
        <v>5</v>
      </c>
      <c r="AI123">
        <v>5</v>
      </c>
      <c r="AJ123">
        <v>7</v>
      </c>
      <c r="AK123">
        <v>34</v>
      </c>
      <c r="AL123" t="s">
        <v>227</v>
      </c>
      <c r="AM123" t="s">
        <v>228</v>
      </c>
      <c r="AN123" t="s">
        <v>229</v>
      </c>
      <c r="AO123" t="s">
        <v>2606</v>
      </c>
      <c r="AP123" t="s">
        <v>2607</v>
      </c>
      <c r="AQ123" t="s">
        <v>74</v>
      </c>
      <c r="AR123" t="s">
        <v>2608</v>
      </c>
      <c r="AS123" t="s">
        <v>2609</v>
      </c>
      <c r="AT123" t="s">
        <v>1481</v>
      </c>
      <c r="AU123">
        <v>2025</v>
      </c>
      <c r="AV123">
        <v>727</v>
      </c>
      <c r="AW123" t="s">
        <v>74</v>
      </c>
      <c r="AX123" t="s">
        <v>74</v>
      </c>
      <c r="AY123" t="s">
        <v>74</v>
      </c>
      <c r="AZ123" t="s">
        <v>74</v>
      </c>
      <c r="BA123" t="s">
        <v>74</v>
      </c>
      <c r="BB123" t="s">
        <v>74</v>
      </c>
      <c r="BC123" t="s">
        <v>74</v>
      </c>
      <c r="BD123">
        <v>124101</v>
      </c>
      <c r="BE123" t="s">
        <v>2610</v>
      </c>
      <c r="BF123" t="str">
        <f>HYPERLINK("http://dx.doi.org/10.1016/j.memsci.2025.124101","http://dx.doi.org/10.1016/j.memsci.2025.124101")</f>
        <v>http://dx.doi.org/10.1016/j.memsci.2025.124101</v>
      </c>
      <c r="BG123" t="s">
        <v>74</v>
      </c>
      <c r="BH123" t="s">
        <v>1253</v>
      </c>
      <c r="BI123">
        <v>9</v>
      </c>
      <c r="BJ123" t="s">
        <v>2611</v>
      </c>
      <c r="BK123" t="s">
        <v>103</v>
      </c>
      <c r="BL123" t="s">
        <v>2612</v>
      </c>
      <c r="BM123" t="s">
        <v>2613</v>
      </c>
      <c r="BN123" t="s">
        <v>74</v>
      </c>
      <c r="BO123" t="s">
        <v>344</v>
      </c>
      <c r="BP123" t="s">
        <v>74</v>
      </c>
      <c r="BQ123" t="s">
        <v>74</v>
      </c>
      <c r="BR123" t="s">
        <v>106</v>
      </c>
      <c r="BS123" t="s">
        <v>2614</v>
      </c>
      <c r="BT123" t="str">
        <f>HYPERLINK("https%3A%2F%2Fwww.webofscience.com%2Fwos%2Fwoscc%2Ffull-record%2FWOS:001476524900001","View Full Record in Web of Science")</f>
        <v>View Full Record in Web of Science</v>
      </c>
    </row>
    <row r="124" spans="1:72" x14ac:dyDescent="0.15">
      <c r="A124" t="s">
        <v>72</v>
      </c>
      <c r="B124" t="s">
        <v>2615</v>
      </c>
      <c r="C124" t="s">
        <v>74</v>
      </c>
      <c r="D124" t="s">
        <v>74</v>
      </c>
      <c r="E124" t="s">
        <v>74</v>
      </c>
      <c r="F124" t="s">
        <v>2616</v>
      </c>
      <c r="G124" t="s">
        <v>74</v>
      </c>
      <c r="H124" t="s">
        <v>74</v>
      </c>
      <c r="I124" t="s">
        <v>2617</v>
      </c>
      <c r="J124" t="s">
        <v>1422</v>
      </c>
      <c r="K124" t="s">
        <v>74</v>
      </c>
      <c r="L124" t="s">
        <v>74</v>
      </c>
      <c r="M124" t="s">
        <v>78</v>
      </c>
      <c r="N124" t="s">
        <v>79</v>
      </c>
      <c r="O124" t="s">
        <v>74</v>
      </c>
      <c r="P124" t="s">
        <v>74</v>
      </c>
      <c r="Q124" t="s">
        <v>74</v>
      </c>
      <c r="R124" t="s">
        <v>74</v>
      </c>
      <c r="S124" t="s">
        <v>74</v>
      </c>
      <c r="T124" t="s">
        <v>2618</v>
      </c>
      <c r="U124" t="s">
        <v>2619</v>
      </c>
      <c r="V124" t="s">
        <v>2620</v>
      </c>
      <c r="W124" t="s">
        <v>2621</v>
      </c>
      <c r="X124" t="s">
        <v>2622</v>
      </c>
      <c r="Y124" t="s">
        <v>2623</v>
      </c>
      <c r="Z124" t="s">
        <v>2624</v>
      </c>
      <c r="AA124" t="s">
        <v>2625</v>
      </c>
      <c r="AB124" t="s">
        <v>2626</v>
      </c>
      <c r="AC124" t="s">
        <v>2627</v>
      </c>
      <c r="AD124" t="s">
        <v>2628</v>
      </c>
      <c r="AE124" t="s">
        <v>2629</v>
      </c>
      <c r="AF124" t="s">
        <v>74</v>
      </c>
      <c r="AG124">
        <v>54</v>
      </c>
      <c r="AH124">
        <v>0</v>
      </c>
      <c r="AI124">
        <v>0</v>
      </c>
      <c r="AJ124">
        <v>10</v>
      </c>
      <c r="AK124">
        <v>24</v>
      </c>
      <c r="AL124" t="s">
        <v>152</v>
      </c>
      <c r="AM124" t="s">
        <v>153</v>
      </c>
      <c r="AN124" t="s">
        <v>154</v>
      </c>
      <c r="AO124" t="s">
        <v>1433</v>
      </c>
      <c r="AP124" t="s">
        <v>1434</v>
      </c>
      <c r="AQ124" t="s">
        <v>74</v>
      </c>
      <c r="AR124" t="s">
        <v>1422</v>
      </c>
      <c r="AS124" t="s">
        <v>1435</v>
      </c>
      <c r="AT124" t="s">
        <v>1575</v>
      </c>
      <c r="AU124">
        <v>2025</v>
      </c>
      <c r="AV124">
        <v>19</v>
      </c>
      <c r="AW124">
        <v>27</v>
      </c>
      <c r="AX124" t="s">
        <v>74</v>
      </c>
      <c r="AY124" t="s">
        <v>74</v>
      </c>
      <c r="AZ124" t="s">
        <v>74</v>
      </c>
      <c r="BA124" t="s">
        <v>74</v>
      </c>
      <c r="BB124">
        <v>25316</v>
      </c>
      <c r="BC124">
        <v>25324</v>
      </c>
      <c r="BD124" t="s">
        <v>74</v>
      </c>
      <c r="BE124" t="s">
        <v>2630</v>
      </c>
      <c r="BF124" t="str">
        <f>HYPERLINK("http://dx.doi.org/10.1021/acsnano.5c06675","http://dx.doi.org/10.1021/acsnano.5c06675")</f>
        <v>http://dx.doi.org/10.1021/acsnano.5c06675</v>
      </c>
      <c r="BG124" t="s">
        <v>74</v>
      </c>
      <c r="BH124" t="s">
        <v>342</v>
      </c>
      <c r="BI124">
        <v>9</v>
      </c>
      <c r="BJ124" t="s">
        <v>1438</v>
      </c>
      <c r="BK124" t="s">
        <v>103</v>
      </c>
      <c r="BL124" t="s">
        <v>556</v>
      </c>
      <c r="BM124" t="s">
        <v>2631</v>
      </c>
      <c r="BN124">
        <v>40605192</v>
      </c>
      <c r="BO124" t="s">
        <v>74</v>
      </c>
      <c r="BP124" t="s">
        <v>74</v>
      </c>
      <c r="BQ124" t="s">
        <v>74</v>
      </c>
      <c r="BR124" t="s">
        <v>106</v>
      </c>
      <c r="BS124" t="s">
        <v>2632</v>
      </c>
      <c r="BT124" t="str">
        <f>HYPERLINK("https%3A%2F%2Fwww.webofscience.com%2Fwos%2Fwoscc%2Ffull-record%2FWOS:001522334300001","View Full Record in Web of Science")</f>
        <v>View Full Record in Web of Science</v>
      </c>
    </row>
    <row r="125" spans="1:72" x14ac:dyDescent="0.15">
      <c r="A125" t="s">
        <v>72</v>
      </c>
      <c r="B125" t="s">
        <v>2633</v>
      </c>
      <c r="C125" t="s">
        <v>74</v>
      </c>
      <c r="D125" t="s">
        <v>74</v>
      </c>
      <c r="E125" t="s">
        <v>74</v>
      </c>
      <c r="F125" t="s">
        <v>2634</v>
      </c>
      <c r="G125" t="s">
        <v>74</v>
      </c>
      <c r="H125" t="s">
        <v>74</v>
      </c>
      <c r="I125" t="s">
        <v>2635</v>
      </c>
      <c r="J125" t="s">
        <v>1880</v>
      </c>
      <c r="K125" t="s">
        <v>74</v>
      </c>
      <c r="L125" t="s">
        <v>74</v>
      </c>
      <c r="M125" t="s">
        <v>78</v>
      </c>
      <c r="N125" t="s">
        <v>79</v>
      </c>
      <c r="O125" t="s">
        <v>74</v>
      </c>
      <c r="P125" t="s">
        <v>74</v>
      </c>
      <c r="Q125" t="s">
        <v>74</v>
      </c>
      <c r="R125" t="s">
        <v>74</v>
      </c>
      <c r="S125" t="s">
        <v>74</v>
      </c>
      <c r="T125" t="s">
        <v>74</v>
      </c>
      <c r="U125" t="s">
        <v>2636</v>
      </c>
      <c r="V125" t="s">
        <v>2637</v>
      </c>
      <c r="W125" t="s">
        <v>2638</v>
      </c>
      <c r="X125" t="s">
        <v>2639</v>
      </c>
      <c r="Y125" t="s">
        <v>2640</v>
      </c>
      <c r="Z125" t="s">
        <v>2641</v>
      </c>
      <c r="AA125" t="s">
        <v>2642</v>
      </c>
      <c r="AB125" t="s">
        <v>2643</v>
      </c>
      <c r="AC125" t="s">
        <v>2644</v>
      </c>
      <c r="AD125" t="s">
        <v>2645</v>
      </c>
      <c r="AE125" t="s">
        <v>2646</v>
      </c>
      <c r="AF125" t="s">
        <v>74</v>
      </c>
      <c r="AG125">
        <v>60</v>
      </c>
      <c r="AH125">
        <v>5</v>
      </c>
      <c r="AI125">
        <v>5</v>
      </c>
      <c r="AJ125">
        <v>13</v>
      </c>
      <c r="AK125">
        <v>21</v>
      </c>
      <c r="AL125" t="s">
        <v>1890</v>
      </c>
      <c r="AM125" t="s">
        <v>153</v>
      </c>
      <c r="AN125" t="s">
        <v>1891</v>
      </c>
      <c r="AO125" t="s">
        <v>1892</v>
      </c>
      <c r="AP125" t="s">
        <v>74</v>
      </c>
      <c r="AQ125" t="s">
        <v>74</v>
      </c>
      <c r="AR125" t="s">
        <v>1893</v>
      </c>
      <c r="AS125" t="s">
        <v>1894</v>
      </c>
      <c r="AT125" t="s">
        <v>2647</v>
      </c>
      <c r="AU125">
        <v>2025</v>
      </c>
      <c r="AV125">
        <v>11</v>
      </c>
      <c r="AW125">
        <v>21</v>
      </c>
      <c r="AX125" t="s">
        <v>74</v>
      </c>
      <c r="AY125" t="s">
        <v>74</v>
      </c>
      <c r="AZ125" t="s">
        <v>74</v>
      </c>
      <c r="BA125" t="s">
        <v>74</v>
      </c>
      <c r="BB125" t="s">
        <v>74</v>
      </c>
      <c r="BC125" t="s">
        <v>74</v>
      </c>
      <c r="BD125" t="s">
        <v>2648</v>
      </c>
      <c r="BE125" t="s">
        <v>2649</v>
      </c>
      <c r="BF125" t="str">
        <f>HYPERLINK("http://dx.doi.org/10.1126/sciadv.adu8349","http://dx.doi.org/10.1126/sciadv.adu8349")</f>
        <v>http://dx.doi.org/10.1126/sciadv.adu8349</v>
      </c>
      <c r="BG125" t="s">
        <v>74</v>
      </c>
      <c r="BH125" t="s">
        <v>74</v>
      </c>
      <c r="BI125">
        <v>11</v>
      </c>
      <c r="BJ125" t="s">
        <v>300</v>
      </c>
      <c r="BK125" t="s">
        <v>103</v>
      </c>
      <c r="BL125" t="s">
        <v>301</v>
      </c>
      <c r="BM125" t="s">
        <v>2650</v>
      </c>
      <c r="BN125">
        <v>40397751</v>
      </c>
      <c r="BO125" t="s">
        <v>191</v>
      </c>
      <c r="BP125" t="s">
        <v>74</v>
      </c>
      <c r="BQ125" t="s">
        <v>74</v>
      </c>
      <c r="BR125" t="s">
        <v>106</v>
      </c>
      <c r="BS125" t="s">
        <v>2651</v>
      </c>
      <c r="BT125" t="str">
        <f>HYPERLINK("https%3A%2F%2Fwww.webofscience.com%2Fwos%2Fwoscc%2Ffull-record%2FWOS:001492125100015","View Full Record in Web of Science")</f>
        <v>View Full Record in Web of Science</v>
      </c>
    </row>
    <row r="126" spans="1:72" x14ac:dyDescent="0.15">
      <c r="A126" t="s">
        <v>72</v>
      </c>
      <c r="B126" t="s">
        <v>2652</v>
      </c>
      <c r="C126" t="s">
        <v>74</v>
      </c>
      <c r="D126" t="s">
        <v>74</v>
      </c>
      <c r="E126" t="s">
        <v>74</v>
      </c>
      <c r="F126" t="s">
        <v>2653</v>
      </c>
      <c r="G126" t="s">
        <v>74</v>
      </c>
      <c r="H126" t="s">
        <v>74</v>
      </c>
      <c r="I126" t="s">
        <v>2654</v>
      </c>
      <c r="J126" t="s">
        <v>1422</v>
      </c>
      <c r="K126" t="s">
        <v>74</v>
      </c>
      <c r="L126" t="s">
        <v>74</v>
      </c>
      <c r="M126" t="s">
        <v>78</v>
      </c>
      <c r="N126" t="s">
        <v>79</v>
      </c>
      <c r="O126" t="s">
        <v>74</v>
      </c>
      <c r="P126" t="s">
        <v>74</v>
      </c>
      <c r="Q126" t="s">
        <v>74</v>
      </c>
      <c r="R126" t="s">
        <v>74</v>
      </c>
      <c r="S126" t="s">
        <v>74</v>
      </c>
      <c r="T126" t="s">
        <v>2655</v>
      </c>
      <c r="U126" t="s">
        <v>2656</v>
      </c>
      <c r="V126" t="s">
        <v>2657</v>
      </c>
      <c r="W126" t="s">
        <v>2658</v>
      </c>
      <c r="X126" t="s">
        <v>2659</v>
      </c>
      <c r="Y126" t="s">
        <v>1106</v>
      </c>
      <c r="Z126" t="s">
        <v>1107</v>
      </c>
      <c r="AA126" t="s">
        <v>2660</v>
      </c>
      <c r="AB126" t="s">
        <v>2661</v>
      </c>
      <c r="AC126" t="s">
        <v>2662</v>
      </c>
      <c r="AD126" t="s">
        <v>2663</v>
      </c>
      <c r="AE126" t="s">
        <v>2664</v>
      </c>
      <c r="AF126" t="s">
        <v>74</v>
      </c>
      <c r="AG126">
        <v>62</v>
      </c>
      <c r="AH126">
        <v>9</v>
      </c>
      <c r="AI126">
        <v>9</v>
      </c>
      <c r="AJ126">
        <v>13</v>
      </c>
      <c r="AK126">
        <v>74</v>
      </c>
      <c r="AL126" t="s">
        <v>152</v>
      </c>
      <c r="AM126" t="s">
        <v>153</v>
      </c>
      <c r="AN126" t="s">
        <v>154</v>
      </c>
      <c r="AO126" t="s">
        <v>1433</v>
      </c>
      <c r="AP126" t="s">
        <v>1434</v>
      </c>
      <c r="AQ126" t="s">
        <v>74</v>
      </c>
      <c r="AR126" t="s">
        <v>1422</v>
      </c>
      <c r="AS126" t="s">
        <v>1435</v>
      </c>
      <c r="AT126" t="s">
        <v>2665</v>
      </c>
      <c r="AU126">
        <v>2024</v>
      </c>
      <c r="AV126">
        <v>18</v>
      </c>
      <c r="AW126">
        <v>27</v>
      </c>
      <c r="AX126" t="s">
        <v>74</v>
      </c>
      <c r="AY126" t="s">
        <v>74</v>
      </c>
      <c r="AZ126" t="s">
        <v>74</v>
      </c>
      <c r="BA126" t="s">
        <v>74</v>
      </c>
      <c r="BB126">
        <v>17958</v>
      </c>
      <c r="BC126">
        <v>17968</v>
      </c>
      <c r="BD126" t="s">
        <v>74</v>
      </c>
      <c r="BE126" t="s">
        <v>2666</v>
      </c>
      <c r="BF126" t="str">
        <f>HYPERLINK("http://dx.doi.org/10.1021/acsnano.4c04684","http://dx.doi.org/10.1021/acsnano.4c04684")</f>
        <v>http://dx.doi.org/10.1021/acsnano.4c04684</v>
      </c>
      <c r="BG126" t="s">
        <v>74</v>
      </c>
      <c r="BH126" t="s">
        <v>319</v>
      </c>
      <c r="BI126">
        <v>11</v>
      </c>
      <c r="BJ126" t="s">
        <v>1438</v>
      </c>
      <c r="BK126" t="s">
        <v>103</v>
      </c>
      <c r="BL126" t="s">
        <v>556</v>
      </c>
      <c r="BM126" t="s">
        <v>2667</v>
      </c>
      <c r="BN126">
        <v>38918951</v>
      </c>
      <c r="BO126" t="s">
        <v>105</v>
      </c>
      <c r="BP126" t="s">
        <v>74</v>
      </c>
      <c r="BQ126" t="s">
        <v>74</v>
      </c>
      <c r="BR126" t="s">
        <v>106</v>
      </c>
      <c r="BS126" t="s">
        <v>2668</v>
      </c>
      <c r="BT126" t="str">
        <f>HYPERLINK("https%3A%2F%2Fwww.webofscience.com%2Fwos%2Fwoscc%2Ffull-record%2FWOS:001255777300001","View Full Record in Web of Science")</f>
        <v>View Full Record in Web of Science</v>
      </c>
    </row>
  </sheetData>
  <pageMargins left="0.75" right="0.75" top="1" bottom="1"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savedrecs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Hollyer, George</cp:lastModifiedBy>
  <dcterms:created xsi:type="dcterms:W3CDTF">2026-05-29T20:00:28Z</dcterms:created>
  <dcterms:modified xsi:type="dcterms:W3CDTF">2026-05-29T20:00:45Z</dcterms:modified>
</cp:coreProperties>
</file>